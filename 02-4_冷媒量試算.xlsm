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【プラント設計部】\高橋\06 templete\"/>
    </mc:Choice>
  </mc:AlternateContent>
  <xr:revisionPtr revIDLastSave="0" documentId="13_ncr:1_{8BA32F6E-0FC9-4FA4-877B-947F396741AA}" xr6:coauthVersionLast="47" xr6:coauthVersionMax="47" xr10:uidLastSave="{00000000-0000-0000-0000-000000000000}"/>
  <bookViews>
    <workbookView xWindow="-120" yWindow="-120" windowWidth="29040" windowHeight="15720" activeTab="1" xr2:uid="{94E54AA7-A1BB-4EE1-9BC1-5F9FCE9808DD}"/>
  </bookViews>
  <sheets>
    <sheet name="冷媒量試算" sheetId="13" r:id="rId1"/>
    <sheet name="原本" sheetId="14" r:id="rId2"/>
    <sheet name="C1220T" sheetId="15" r:id="rId3"/>
    <sheet name="参照飽和表" sheetId="16" r:id="rId4"/>
    <sheet name="飽和表集" sheetId="17" r:id="rId5"/>
  </sheets>
  <externalReferences>
    <externalReference r:id="rId6"/>
  </externalReferences>
  <definedNames>
    <definedName name="A">飽和表集!$B$5:$J$139</definedName>
    <definedName name="B">#REF!</definedName>
    <definedName name="D">#REF!</definedName>
    <definedName name="E">#REF!</definedName>
    <definedName name="F">#REF!</definedName>
    <definedName name="G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5" i="14" l="1"/>
  <c r="K15" i="14"/>
  <c r="O14" i="14"/>
  <c r="O13" i="14"/>
  <c r="B1" i="16" l="1"/>
  <c r="BH114" i="17" l="1"/>
  <c r="BG114" i="17"/>
  <c r="BF114" i="17"/>
  <c r="BE114" i="17"/>
  <c r="BD114" i="17"/>
  <c r="BC114" i="17"/>
  <c r="BA114" i="17"/>
  <c r="BH112" i="17"/>
  <c r="BG112" i="17"/>
  <c r="BF112" i="17"/>
  <c r="BE112" i="17"/>
  <c r="BD112" i="17"/>
  <c r="BC112" i="17"/>
  <c r="BA112" i="17"/>
  <c r="BH110" i="17"/>
  <c r="BG110" i="17"/>
  <c r="BF110" i="17"/>
  <c r="BE110" i="17"/>
  <c r="BD110" i="17"/>
  <c r="BC110" i="17"/>
  <c r="BA110" i="17"/>
  <c r="BH108" i="17"/>
  <c r="BG108" i="17"/>
  <c r="BF108" i="17"/>
  <c r="BE108" i="17"/>
  <c r="BD108" i="17"/>
  <c r="BC108" i="17"/>
  <c r="BA108" i="17"/>
  <c r="BH106" i="17"/>
  <c r="BG106" i="17"/>
  <c r="BF106" i="17"/>
  <c r="BE106" i="17"/>
  <c r="BD106" i="17"/>
  <c r="BC106" i="17"/>
  <c r="BA106" i="17"/>
  <c r="BH104" i="17"/>
  <c r="BG104" i="17"/>
  <c r="BF104" i="17"/>
  <c r="BE104" i="17"/>
  <c r="BD104" i="17"/>
  <c r="BC104" i="17"/>
  <c r="BA104" i="17"/>
  <c r="T104" i="17"/>
  <c r="S104" i="17"/>
  <c r="R104" i="17"/>
  <c r="Q104" i="17"/>
  <c r="P104" i="17"/>
  <c r="O104" i="17"/>
  <c r="N104" i="17"/>
  <c r="M104" i="17"/>
  <c r="BH102" i="17"/>
  <c r="BG102" i="17"/>
  <c r="BF102" i="17"/>
  <c r="BE102" i="17"/>
  <c r="BD102" i="17"/>
  <c r="BC102" i="17"/>
  <c r="BA102" i="17"/>
  <c r="T102" i="17"/>
  <c r="S102" i="17"/>
  <c r="R102" i="17"/>
  <c r="Q102" i="17"/>
  <c r="P102" i="17"/>
  <c r="O102" i="17"/>
  <c r="N102" i="17"/>
  <c r="M102" i="17"/>
  <c r="BH100" i="17"/>
  <c r="BG100" i="17"/>
  <c r="BF100" i="17"/>
  <c r="BE100" i="17"/>
  <c r="BD100" i="17"/>
  <c r="BC100" i="17"/>
  <c r="BA100" i="17"/>
  <c r="T100" i="17"/>
  <c r="S100" i="17"/>
  <c r="R100" i="17"/>
  <c r="Q100" i="17"/>
  <c r="P100" i="17"/>
  <c r="O100" i="17"/>
  <c r="N100" i="17"/>
  <c r="M100" i="17"/>
  <c r="BH98" i="17"/>
  <c r="BG98" i="17"/>
  <c r="BF98" i="17"/>
  <c r="BE98" i="17"/>
  <c r="BD98" i="17"/>
  <c r="BC98" i="17"/>
  <c r="BA98" i="17"/>
  <c r="T98" i="17"/>
  <c r="S98" i="17"/>
  <c r="R98" i="17"/>
  <c r="Q98" i="17"/>
  <c r="P98" i="17"/>
  <c r="O98" i="17"/>
  <c r="N98" i="17"/>
  <c r="M98" i="17"/>
  <c r="BH96" i="17"/>
  <c r="BG96" i="17"/>
  <c r="BF96" i="17"/>
  <c r="BE96" i="17"/>
  <c r="BD96" i="17"/>
  <c r="BC96" i="17"/>
  <c r="BA96" i="17"/>
  <c r="T96" i="17"/>
  <c r="S96" i="17"/>
  <c r="R96" i="17"/>
  <c r="Q96" i="17"/>
  <c r="P96" i="17"/>
  <c r="O96" i="17"/>
  <c r="N96" i="17"/>
  <c r="M96" i="17"/>
  <c r="BH94" i="17"/>
  <c r="BG94" i="17"/>
  <c r="BF94" i="17"/>
  <c r="BE94" i="17"/>
  <c r="BD94" i="17"/>
  <c r="BC94" i="17"/>
  <c r="BA94" i="17"/>
  <c r="T94" i="17"/>
  <c r="S94" i="17"/>
  <c r="R94" i="17"/>
  <c r="Q94" i="17"/>
  <c r="P94" i="17"/>
  <c r="O94" i="17"/>
  <c r="N94" i="17"/>
  <c r="M94" i="17"/>
  <c r="J94" i="17"/>
  <c r="I94" i="17"/>
  <c r="H94" i="17"/>
  <c r="G94" i="17"/>
  <c r="F94" i="17"/>
  <c r="E94" i="17"/>
  <c r="D94" i="17"/>
  <c r="C94" i="17"/>
  <c r="BH92" i="17"/>
  <c r="BG92" i="17"/>
  <c r="BF92" i="17"/>
  <c r="BE92" i="17"/>
  <c r="BD92" i="17"/>
  <c r="BC92" i="17"/>
  <c r="BA92" i="17"/>
  <c r="T92" i="17"/>
  <c r="S92" i="17"/>
  <c r="R92" i="17"/>
  <c r="Q92" i="17"/>
  <c r="P92" i="17"/>
  <c r="O92" i="17"/>
  <c r="N92" i="17"/>
  <c r="M92" i="17"/>
  <c r="J92" i="17"/>
  <c r="I92" i="17"/>
  <c r="H92" i="17"/>
  <c r="G92" i="17"/>
  <c r="F92" i="17"/>
  <c r="E92" i="17"/>
  <c r="D92" i="17"/>
  <c r="C92" i="17"/>
  <c r="BH90" i="17"/>
  <c r="BG90" i="17"/>
  <c r="BF90" i="17"/>
  <c r="BE90" i="17"/>
  <c r="BD90" i="17"/>
  <c r="BC90" i="17"/>
  <c r="BA90" i="17"/>
  <c r="T90" i="17"/>
  <c r="S90" i="17"/>
  <c r="R90" i="17"/>
  <c r="Q90" i="17"/>
  <c r="P90" i="17"/>
  <c r="O90" i="17"/>
  <c r="N90" i="17"/>
  <c r="M90" i="17"/>
  <c r="J90" i="17"/>
  <c r="I90" i="17"/>
  <c r="H90" i="17"/>
  <c r="G90" i="17"/>
  <c r="F90" i="17"/>
  <c r="E90" i="17"/>
  <c r="D90" i="17"/>
  <c r="C90" i="17"/>
  <c r="BH88" i="17"/>
  <c r="BG88" i="17"/>
  <c r="BF88" i="17"/>
  <c r="BE88" i="17"/>
  <c r="BD88" i="17"/>
  <c r="BC88" i="17"/>
  <c r="BA88" i="17"/>
  <c r="T88" i="17"/>
  <c r="S88" i="17"/>
  <c r="R88" i="17"/>
  <c r="Q88" i="17"/>
  <c r="P88" i="17"/>
  <c r="O88" i="17"/>
  <c r="N88" i="17"/>
  <c r="M88" i="17"/>
  <c r="J88" i="17"/>
  <c r="I88" i="17"/>
  <c r="H88" i="17"/>
  <c r="G88" i="17"/>
  <c r="F88" i="17"/>
  <c r="E88" i="17"/>
  <c r="D88" i="17"/>
  <c r="C88" i="17"/>
  <c r="BH86" i="17"/>
  <c r="BG86" i="17"/>
  <c r="BF86" i="17"/>
  <c r="BE86" i="17"/>
  <c r="BD86" i="17"/>
  <c r="BC86" i="17"/>
  <c r="BA86" i="17"/>
  <c r="T86" i="17"/>
  <c r="S86" i="17"/>
  <c r="R86" i="17"/>
  <c r="Q86" i="17"/>
  <c r="P86" i="17"/>
  <c r="O86" i="17"/>
  <c r="N86" i="17"/>
  <c r="M86" i="17"/>
  <c r="J86" i="17"/>
  <c r="I86" i="17"/>
  <c r="H86" i="17"/>
  <c r="G86" i="17"/>
  <c r="F86" i="17"/>
  <c r="E86" i="17"/>
  <c r="D86" i="17"/>
  <c r="C86" i="17"/>
  <c r="BH84" i="17"/>
  <c r="BG84" i="17"/>
  <c r="BF84" i="17"/>
  <c r="BE84" i="17"/>
  <c r="BD84" i="17"/>
  <c r="BC84" i="17"/>
  <c r="BA84" i="17"/>
  <c r="T84" i="17"/>
  <c r="S84" i="17"/>
  <c r="R84" i="17"/>
  <c r="Q84" i="17"/>
  <c r="P84" i="17"/>
  <c r="O84" i="17"/>
  <c r="N84" i="17"/>
  <c r="M84" i="17"/>
  <c r="J84" i="17"/>
  <c r="I84" i="17"/>
  <c r="H84" i="17"/>
  <c r="G84" i="17"/>
  <c r="F84" i="17"/>
  <c r="E84" i="17"/>
  <c r="D84" i="17"/>
  <c r="C84" i="17"/>
  <c r="BH82" i="17"/>
  <c r="BG82" i="17"/>
  <c r="BF82" i="17"/>
  <c r="BE82" i="17"/>
  <c r="BD82" i="17"/>
  <c r="BC82" i="17"/>
  <c r="BA82" i="17"/>
  <c r="T82" i="17"/>
  <c r="S82" i="17"/>
  <c r="R82" i="17"/>
  <c r="Q82" i="17"/>
  <c r="P82" i="17"/>
  <c r="O82" i="17"/>
  <c r="N82" i="17"/>
  <c r="M82" i="17"/>
  <c r="J82" i="17"/>
  <c r="I82" i="17"/>
  <c r="H82" i="17"/>
  <c r="G82" i="17"/>
  <c r="F82" i="17"/>
  <c r="E82" i="17"/>
  <c r="D82" i="17"/>
  <c r="C82" i="17"/>
  <c r="BH80" i="17"/>
  <c r="BG80" i="17"/>
  <c r="BF80" i="17"/>
  <c r="BE80" i="17"/>
  <c r="BD80" i="17"/>
  <c r="BC80" i="17"/>
  <c r="BA80" i="17"/>
  <c r="T80" i="17"/>
  <c r="S80" i="17"/>
  <c r="R80" i="17"/>
  <c r="Q80" i="17"/>
  <c r="P80" i="17"/>
  <c r="O80" i="17"/>
  <c r="N80" i="17"/>
  <c r="M80" i="17"/>
  <c r="J80" i="17"/>
  <c r="I80" i="17"/>
  <c r="H80" i="17"/>
  <c r="G80" i="17"/>
  <c r="F80" i="17"/>
  <c r="E80" i="17"/>
  <c r="D80" i="17"/>
  <c r="C80" i="17"/>
  <c r="BH78" i="17"/>
  <c r="BG78" i="17"/>
  <c r="BF78" i="17"/>
  <c r="BE78" i="17"/>
  <c r="BD78" i="17"/>
  <c r="BC78" i="17"/>
  <c r="BA78" i="17"/>
  <c r="T78" i="17"/>
  <c r="S78" i="17"/>
  <c r="R78" i="17"/>
  <c r="Q78" i="17"/>
  <c r="P78" i="17"/>
  <c r="O78" i="17"/>
  <c r="N78" i="17"/>
  <c r="M78" i="17"/>
  <c r="J78" i="17"/>
  <c r="I78" i="17"/>
  <c r="H78" i="17"/>
  <c r="G78" i="17"/>
  <c r="F78" i="17"/>
  <c r="E78" i="17"/>
  <c r="D78" i="17"/>
  <c r="C78" i="17"/>
  <c r="BH76" i="17"/>
  <c r="BG76" i="17"/>
  <c r="BF76" i="17"/>
  <c r="BE76" i="17"/>
  <c r="BD76" i="17"/>
  <c r="BC76" i="17"/>
  <c r="BA76" i="17"/>
  <c r="T76" i="17"/>
  <c r="S76" i="17"/>
  <c r="R76" i="17"/>
  <c r="Q76" i="17"/>
  <c r="P76" i="17"/>
  <c r="O76" i="17"/>
  <c r="N76" i="17"/>
  <c r="M76" i="17"/>
  <c r="J76" i="17"/>
  <c r="I76" i="17"/>
  <c r="H76" i="17"/>
  <c r="G76" i="17"/>
  <c r="F76" i="17"/>
  <c r="E76" i="17"/>
  <c r="D76" i="17"/>
  <c r="C76" i="17"/>
  <c r="BH74" i="17"/>
  <c r="BG74" i="17"/>
  <c r="BF74" i="17"/>
  <c r="BE74" i="17"/>
  <c r="BD74" i="17"/>
  <c r="BC74" i="17"/>
  <c r="BA74" i="17"/>
  <c r="T74" i="17"/>
  <c r="S74" i="17"/>
  <c r="R74" i="17"/>
  <c r="Q74" i="17"/>
  <c r="P74" i="17"/>
  <c r="O74" i="17"/>
  <c r="N74" i="17"/>
  <c r="M74" i="17"/>
  <c r="J74" i="17"/>
  <c r="I74" i="17"/>
  <c r="H74" i="17"/>
  <c r="G74" i="17"/>
  <c r="F74" i="17"/>
  <c r="E74" i="17"/>
  <c r="D74" i="17"/>
  <c r="C74" i="17"/>
  <c r="BH72" i="17"/>
  <c r="BG72" i="17"/>
  <c r="BF72" i="17"/>
  <c r="BE72" i="17"/>
  <c r="BD72" i="17"/>
  <c r="BC72" i="17"/>
  <c r="BA72" i="17"/>
  <c r="T72" i="17"/>
  <c r="S72" i="17"/>
  <c r="R72" i="17"/>
  <c r="Q72" i="17"/>
  <c r="P72" i="17"/>
  <c r="O72" i="17"/>
  <c r="N72" i="17"/>
  <c r="M72" i="17"/>
  <c r="J72" i="17"/>
  <c r="I72" i="17"/>
  <c r="H72" i="17"/>
  <c r="G72" i="17"/>
  <c r="F72" i="17"/>
  <c r="E72" i="17"/>
  <c r="D72" i="17"/>
  <c r="C72" i="17"/>
  <c r="BH70" i="17"/>
  <c r="BG70" i="17"/>
  <c r="BF70" i="17"/>
  <c r="BE70" i="17"/>
  <c r="BD70" i="17"/>
  <c r="BC70" i="17"/>
  <c r="BA70" i="17"/>
  <c r="T70" i="17"/>
  <c r="S70" i="17"/>
  <c r="R70" i="17"/>
  <c r="Q70" i="17"/>
  <c r="P70" i="17"/>
  <c r="O70" i="17"/>
  <c r="N70" i="17"/>
  <c r="M70" i="17"/>
  <c r="J70" i="17"/>
  <c r="I70" i="17"/>
  <c r="H70" i="17"/>
  <c r="G70" i="17"/>
  <c r="F70" i="17"/>
  <c r="E70" i="17"/>
  <c r="D70" i="17"/>
  <c r="C70" i="17"/>
  <c r="BH68" i="17"/>
  <c r="BG68" i="17"/>
  <c r="BF68" i="17"/>
  <c r="BE68" i="17"/>
  <c r="BD68" i="17"/>
  <c r="BC68" i="17"/>
  <c r="BA68" i="17"/>
  <c r="T68" i="17"/>
  <c r="S68" i="17"/>
  <c r="R68" i="17"/>
  <c r="Q68" i="17"/>
  <c r="P68" i="17"/>
  <c r="O68" i="17"/>
  <c r="N68" i="17"/>
  <c r="M68" i="17"/>
  <c r="J68" i="17"/>
  <c r="I68" i="17"/>
  <c r="H68" i="17"/>
  <c r="G68" i="17"/>
  <c r="F68" i="17"/>
  <c r="E68" i="17"/>
  <c r="D68" i="17"/>
  <c r="C68" i="17"/>
  <c r="BH66" i="17"/>
  <c r="BG66" i="17"/>
  <c r="BF66" i="17"/>
  <c r="BE66" i="17"/>
  <c r="BD66" i="17"/>
  <c r="BC66" i="17"/>
  <c r="BA66" i="17"/>
  <c r="T66" i="17"/>
  <c r="S66" i="17"/>
  <c r="R66" i="17"/>
  <c r="Q66" i="17"/>
  <c r="P66" i="17"/>
  <c r="O66" i="17"/>
  <c r="N66" i="17"/>
  <c r="M66" i="17"/>
  <c r="J66" i="17"/>
  <c r="I66" i="17"/>
  <c r="H66" i="17"/>
  <c r="G66" i="17"/>
  <c r="F66" i="17"/>
  <c r="E66" i="17"/>
  <c r="D66" i="17"/>
  <c r="C66" i="17"/>
  <c r="BH64" i="17"/>
  <c r="BG64" i="17"/>
  <c r="BF64" i="17"/>
  <c r="BE64" i="17"/>
  <c r="BD64" i="17"/>
  <c r="BC64" i="17"/>
  <c r="BA64" i="17"/>
  <c r="T64" i="17"/>
  <c r="S64" i="17"/>
  <c r="R64" i="17"/>
  <c r="Q64" i="17"/>
  <c r="P64" i="17"/>
  <c r="O64" i="17"/>
  <c r="N64" i="17"/>
  <c r="M64" i="17"/>
  <c r="J64" i="17"/>
  <c r="I64" i="17"/>
  <c r="H64" i="17"/>
  <c r="G64" i="17"/>
  <c r="F64" i="17"/>
  <c r="E64" i="17"/>
  <c r="D64" i="17"/>
  <c r="C64" i="17"/>
  <c r="BH62" i="17"/>
  <c r="BG62" i="17"/>
  <c r="BF62" i="17"/>
  <c r="BE62" i="17"/>
  <c r="BD62" i="17"/>
  <c r="BC62" i="17"/>
  <c r="BA62" i="17"/>
  <c r="T62" i="17"/>
  <c r="S62" i="17"/>
  <c r="R62" i="17"/>
  <c r="Q62" i="17"/>
  <c r="P62" i="17"/>
  <c r="O62" i="17"/>
  <c r="N62" i="17"/>
  <c r="M62" i="17"/>
  <c r="J62" i="17"/>
  <c r="I62" i="17"/>
  <c r="H62" i="17"/>
  <c r="G62" i="17"/>
  <c r="F62" i="17"/>
  <c r="E62" i="17"/>
  <c r="D62" i="17"/>
  <c r="C62" i="17"/>
  <c r="BH60" i="17"/>
  <c r="BG60" i="17"/>
  <c r="BF60" i="17"/>
  <c r="BE60" i="17"/>
  <c r="BD60" i="17"/>
  <c r="BC60" i="17"/>
  <c r="BA60" i="17"/>
  <c r="T60" i="17"/>
  <c r="S60" i="17"/>
  <c r="R60" i="17"/>
  <c r="Q60" i="17"/>
  <c r="P60" i="17"/>
  <c r="O60" i="17"/>
  <c r="N60" i="17"/>
  <c r="M60" i="17"/>
  <c r="J60" i="17"/>
  <c r="I60" i="17"/>
  <c r="H60" i="17"/>
  <c r="G60" i="17"/>
  <c r="F60" i="17"/>
  <c r="E60" i="17"/>
  <c r="D60" i="17"/>
  <c r="C60" i="17"/>
  <c r="BH58" i="17"/>
  <c r="BG58" i="17"/>
  <c r="BF58" i="17"/>
  <c r="BE58" i="17"/>
  <c r="BD58" i="17"/>
  <c r="BC58" i="17"/>
  <c r="BA58" i="17"/>
  <c r="T58" i="17"/>
  <c r="S58" i="17"/>
  <c r="R58" i="17"/>
  <c r="Q58" i="17"/>
  <c r="P58" i="17"/>
  <c r="O58" i="17"/>
  <c r="N58" i="17"/>
  <c r="M58" i="17"/>
  <c r="J58" i="17"/>
  <c r="I58" i="17"/>
  <c r="H58" i="17"/>
  <c r="G58" i="17"/>
  <c r="F58" i="17"/>
  <c r="E58" i="17"/>
  <c r="D58" i="17"/>
  <c r="C58" i="17"/>
  <c r="BH56" i="17"/>
  <c r="BG56" i="17"/>
  <c r="BF56" i="17"/>
  <c r="BE56" i="17"/>
  <c r="BD56" i="17"/>
  <c r="BC56" i="17"/>
  <c r="BA56" i="17"/>
  <c r="T56" i="17"/>
  <c r="S56" i="17"/>
  <c r="R56" i="17"/>
  <c r="Q56" i="17"/>
  <c r="P56" i="17"/>
  <c r="O56" i="17"/>
  <c r="N56" i="17"/>
  <c r="M56" i="17"/>
  <c r="J56" i="17"/>
  <c r="I56" i="17"/>
  <c r="H56" i="17"/>
  <c r="G56" i="17"/>
  <c r="F56" i="17"/>
  <c r="E56" i="17"/>
  <c r="D56" i="17"/>
  <c r="C56" i="17"/>
  <c r="BH54" i="17"/>
  <c r="BG54" i="17"/>
  <c r="BF54" i="17"/>
  <c r="BE54" i="17"/>
  <c r="BD54" i="17"/>
  <c r="BC54" i="17"/>
  <c r="BA54" i="17"/>
  <c r="T54" i="17"/>
  <c r="S54" i="17"/>
  <c r="R54" i="17"/>
  <c r="Q54" i="17"/>
  <c r="P54" i="17"/>
  <c r="O54" i="17"/>
  <c r="N54" i="17"/>
  <c r="M54" i="17"/>
  <c r="J54" i="17"/>
  <c r="I54" i="17"/>
  <c r="H54" i="17"/>
  <c r="G54" i="17"/>
  <c r="F54" i="17"/>
  <c r="E54" i="17"/>
  <c r="D54" i="17"/>
  <c r="C54" i="17"/>
  <c r="BH52" i="17"/>
  <c r="BG52" i="17"/>
  <c r="BF52" i="17"/>
  <c r="BE52" i="17"/>
  <c r="BD52" i="17"/>
  <c r="BC52" i="17"/>
  <c r="BA52" i="17"/>
  <c r="T52" i="17"/>
  <c r="S52" i="17"/>
  <c r="R52" i="17"/>
  <c r="Q52" i="17"/>
  <c r="P52" i="17"/>
  <c r="O52" i="17"/>
  <c r="N52" i="17"/>
  <c r="M52" i="17"/>
  <c r="J52" i="17"/>
  <c r="I52" i="17"/>
  <c r="H52" i="17"/>
  <c r="G52" i="17"/>
  <c r="F52" i="17"/>
  <c r="E52" i="17"/>
  <c r="D52" i="17"/>
  <c r="C52" i="17"/>
  <c r="BH50" i="17"/>
  <c r="BG50" i="17"/>
  <c r="BF50" i="17"/>
  <c r="BE50" i="17"/>
  <c r="BD50" i="17"/>
  <c r="BC50" i="17"/>
  <c r="BA50" i="17"/>
  <c r="T50" i="17"/>
  <c r="S50" i="17"/>
  <c r="R50" i="17"/>
  <c r="Q50" i="17"/>
  <c r="P50" i="17"/>
  <c r="O50" i="17"/>
  <c r="N50" i="17"/>
  <c r="M50" i="17"/>
  <c r="J50" i="17"/>
  <c r="I50" i="17"/>
  <c r="H50" i="17"/>
  <c r="G50" i="17"/>
  <c r="F50" i="17"/>
  <c r="E50" i="17"/>
  <c r="D50" i="17"/>
  <c r="C50" i="17"/>
  <c r="BH48" i="17"/>
  <c r="BG48" i="17"/>
  <c r="BF48" i="17"/>
  <c r="BE48" i="17"/>
  <c r="BD48" i="17"/>
  <c r="BC48" i="17"/>
  <c r="BA48" i="17"/>
  <c r="T48" i="17"/>
  <c r="S48" i="17"/>
  <c r="R48" i="17"/>
  <c r="Q48" i="17"/>
  <c r="P48" i="17"/>
  <c r="O48" i="17"/>
  <c r="N48" i="17"/>
  <c r="M48" i="17"/>
  <c r="J48" i="17"/>
  <c r="I48" i="17"/>
  <c r="H48" i="17"/>
  <c r="G48" i="17"/>
  <c r="F48" i="17"/>
  <c r="E48" i="17"/>
  <c r="D48" i="17"/>
  <c r="C48" i="17"/>
  <c r="BH46" i="17"/>
  <c r="BG46" i="17"/>
  <c r="BF46" i="17"/>
  <c r="BE46" i="17"/>
  <c r="BD46" i="17"/>
  <c r="BC46" i="17"/>
  <c r="BA46" i="17"/>
  <c r="T46" i="17"/>
  <c r="S46" i="17"/>
  <c r="R46" i="17"/>
  <c r="Q46" i="17"/>
  <c r="P46" i="17"/>
  <c r="O46" i="17"/>
  <c r="N46" i="17"/>
  <c r="M46" i="17"/>
  <c r="J46" i="17"/>
  <c r="I46" i="17"/>
  <c r="H46" i="17"/>
  <c r="G46" i="17"/>
  <c r="F46" i="17"/>
  <c r="E46" i="17"/>
  <c r="D46" i="17"/>
  <c r="C46" i="17"/>
  <c r="BH44" i="17"/>
  <c r="BG44" i="17"/>
  <c r="BF44" i="17"/>
  <c r="BE44" i="17"/>
  <c r="BD44" i="17"/>
  <c r="BC44" i="17"/>
  <c r="BA44" i="17"/>
  <c r="T44" i="17"/>
  <c r="S44" i="17"/>
  <c r="R44" i="17"/>
  <c r="Q44" i="17"/>
  <c r="P44" i="17"/>
  <c r="O44" i="17"/>
  <c r="N44" i="17"/>
  <c r="M44" i="17"/>
  <c r="J44" i="17"/>
  <c r="I44" i="17"/>
  <c r="H44" i="17"/>
  <c r="G44" i="17"/>
  <c r="F44" i="17"/>
  <c r="E44" i="17"/>
  <c r="D44" i="17"/>
  <c r="C44" i="17"/>
  <c r="BH42" i="17"/>
  <c r="BG42" i="17"/>
  <c r="BF42" i="17"/>
  <c r="BE42" i="17"/>
  <c r="BD42" i="17"/>
  <c r="BC42" i="17"/>
  <c r="BA42" i="17"/>
  <c r="T42" i="17"/>
  <c r="S42" i="17"/>
  <c r="R42" i="17"/>
  <c r="Q42" i="17"/>
  <c r="P42" i="17"/>
  <c r="O42" i="17"/>
  <c r="N42" i="17"/>
  <c r="M42" i="17"/>
  <c r="J42" i="17"/>
  <c r="I42" i="17"/>
  <c r="H42" i="17"/>
  <c r="G42" i="17"/>
  <c r="F42" i="17"/>
  <c r="E42" i="17"/>
  <c r="D42" i="17"/>
  <c r="C42" i="17"/>
  <c r="BH40" i="17"/>
  <c r="BG40" i="17"/>
  <c r="BF40" i="17"/>
  <c r="BE40" i="17"/>
  <c r="BD40" i="17"/>
  <c r="BC40" i="17"/>
  <c r="BA40" i="17"/>
  <c r="T40" i="17"/>
  <c r="S40" i="17"/>
  <c r="R40" i="17"/>
  <c r="Q40" i="17"/>
  <c r="P40" i="17"/>
  <c r="O40" i="17"/>
  <c r="N40" i="17"/>
  <c r="M40" i="17"/>
  <c r="J40" i="17"/>
  <c r="I40" i="17"/>
  <c r="H40" i="17"/>
  <c r="G40" i="17"/>
  <c r="F40" i="17"/>
  <c r="E40" i="17"/>
  <c r="D40" i="17"/>
  <c r="C40" i="17"/>
  <c r="BH38" i="17"/>
  <c r="BG38" i="17"/>
  <c r="BF38" i="17"/>
  <c r="BE38" i="17"/>
  <c r="BD38" i="17"/>
  <c r="BC38" i="17"/>
  <c r="BA38" i="17"/>
  <c r="T38" i="17"/>
  <c r="S38" i="17"/>
  <c r="R38" i="17"/>
  <c r="Q38" i="17"/>
  <c r="P38" i="17"/>
  <c r="O38" i="17"/>
  <c r="N38" i="17"/>
  <c r="M38" i="17"/>
  <c r="J38" i="17"/>
  <c r="I38" i="17"/>
  <c r="H38" i="17"/>
  <c r="G38" i="17"/>
  <c r="F38" i="17"/>
  <c r="E38" i="17"/>
  <c r="D38" i="17"/>
  <c r="C38" i="17"/>
  <c r="BH36" i="17"/>
  <c r="BG36" i="17"/>
  <c r="BF36" i="17"/>
  <c r="BE36" i="17"/>
  <c r="BD36" i="17"/>
  <c r="BC36" i="17"/>
  <c r="BA36" i="17"/>
  <c r="T36" i="17"/>
  <c r="S36" i="17"/>
  <c r="R36" i="17"/>
  <c r="Q36" i="17"/>
  <c r="P36" i="17"/>
  <c r="O36" i="17"/>
  <c r="N36" i="17"/>
  <c r="M36" i="17"/>
  <c r="J36" i="17"/>
  <c r="I36" i="17"/>
  <c r="H36" i="17"/>
  <c r="G36" i="17"/>
  <c r="F36" i="17"/>
  <c r="E36" i="17"/>
  <c r="D36" i="17"/>
  <c r="C36" i="17"/>
  <c r="BH34" i="17"/>
  <c r="BG34" i="17"/>
  <c r="BF34" i="17"/>
  <c r="BE34" i="17"/>
  <c r="BD34" i="17"/>
  <c r="BC34" i="17"/>
  <c r="BA34" i="17"/>
  <c r="T34" i="17"/>
  <c r="S34" i="17"/>
  <c r="R34" i="17"/>
  <c r="Q34" i="17"/>
  <c r="P34" i="17"/>
  <c r="O34" i="17"/>
  <c r="N34" i="17"/>
  <c r="M34" i="17"/>
  <c r="J34" i="17"/>
  <c r="I34" i="17"/>
  <c r="H34" i="17"/>
  <c r="G34" i="17"/>
  <c r="F34" i="17"/>
  <c r="E34" i="17"/>
  <c r="D34" i="17"/>
  <c r="C34" i="17"/>
  <c r="BH32" i="17"/>
  <c r="BG32" i="17"/>
  <c r="BF32" i="17"/>
  <c r="BE32" i="17"/>
  <c r="BD32" i="17"/>
  <c r="BC32" i="17"/>
  <c r="BA32" i="17"/>
  <c r="T32" i="17"/>
  <c r="S32" i="17"/>
  <c r="R32" i="17"/>
  <c r="Q32" i="17"/>
  <c r="P32" i="17"/>
  <c r="O32" i="17"/>
  <c r="N32" i="17"/>
  <c r="M32" i="17"/>
  <c r="J32" i="17"/>
  <c r="I32" i="17"/>
  <c r="H32" i="17"/>
  <c r="G32" i="17"/>
  <c r="F32" i="17"/>
  <c r="E32" i="17"/>
  <c r="D32" i="17"/>
  <c r="C32" i="17"/>
  <c r="BH30" i="17"/>
  <c r="BG30" i="17"/>
  <c r="BF30" i="17"/>
  <c r="BE30" i="17"/>
  <c r="BD30" i="17"/>
  <c r="BC30" i="17"/>
  <c r="BA30" i="17"/>
  <c r="T30" i="17"/>
  <c r="S30" i="17"/>
  <c r="R30" i="17"/>
  <c r="Q30" i="17"/>
  <c r="P30" i="17"/>
  <c r="O30" i="17"/>
  <c r="N30" i="17"/>
  <c r="M30" i="17"/>
  <c r="J30" i="17"/>
  <c r="I30" i="17"/>
  <c r="H30" i="17"/>
  <c r="G30" i="17"/>
  <c r="F30" i="17"/>
  <c r="E30" i="17"/>
  <c r="D30" i="17"/>
  <c r="C30" i="17"/>
  <c r="BH28" i="17"/>
  <c r="BG28" i="17"/>
  <c r="BF28" i="17"/>
  <c r="BE28" i="17"/>
  <c r="BD28" i="17"/>
  <c r="BC28" i="17"/>
  <c r="BA28" i="17"/>
  <c r="T28" i="17"/>
  <c r="S28" i="17"/>
  <c r="R28" i="17"/>
  <c r="Q28" i="17"/>
  <c r="P28" i="17"/>
  <c r="O28" i="17"/>
  <c r="N28" i="17"/>
  <c r="M28" i="17"/>
  <c r="J28" i="17"/>
  <c r="I28" i="17"/>
  <c r="H28" i="17"/>
  <c r="G28" i="17"/>
  <c r="F28" i="17"/>
  <c r="E28" i="17"/>
  <c r="D28" i="17"/>
  <c r="C28" i="17"/>
  <c r="BH26" i="17"/>
  <c r="BG26" i="17"/>
  <c r="BF26" i="17"/>
  <c r="BE26" i="17"/>
  <c r="BD26" i="17"/>
  <c r="BC26" i="17"/>
  <c r="BA26" i="17"/>
  <c r="T26" i="17"/>
  <c r="S26" i="17"/>
  <c r="R26" i="17"/>
  <c r="Q26" i="17"/>
  <c r="P26" i="17"/>
  <c r="O26" i="17"/>
  <c r="N26" i="17"/>
  <c r="M26" i="17"/>
  <c r="J26" i="17"/>
  <c r="I26" i="17"/>
  <c r="H26" i="17"/>
  <c r="G26" i="17"/>
  <c r="F26" i="17"/>
  <c r="E26" i="17"/>
  <c r="D26" i="17"/>
  <c r="C26" i="17"/>
  <c r="BH24" i="17"/>
  <c r="BG24" i="17"/>
  <c r="BF24" i="17"/>
  <c r="BE24" i="17"/>
  <c r="BD24" i="17"/>
  <c r="BC24" i="17"/>
  <c r="BA24" i="17"/>
  <c r="T24" i="17"/>
  <c r="S24" i="17"/>
  <c r="R24" i="17"/>
  <c r="Q24" i="17"/>
  <c r="P24" i="17"/>
  <c r="O24" i="17"/>
  <c r="N24" i="17"/>
  <c r="M24" i="17"/>
  <c r="J24" i="17"/>
  <c r="I24" i="17"/>
  <c r="H24" i="17"/>
  <c r="G24" i="17"/>
  <c r="F24" i="17"/>
  <c r="E24" i="17"/>
  <c r="D24" i="17"/>
  <c r="C24" i="17"/>
  <c r="BH22" i="17"/>
  <c r="BG22" i="17"/>
  <c r="BF22" i="17"/>
  <c r="BE22" i="17"/>
  <c r="BD22" i="17"/>
  <c r="BC22" i="17"/>
  <c r="BA22" i="17"/>
  <c r="T22" i="17"/>
  <c r="S22" i="17"/>
  <c r="R22" i="17"/>
  <c r="Q22" i="17"/>
  <c r="P22" i="17"/>
  <c r="O22" i="17"/>
  <c r="N22" i="17"/>
  <c r="M22" i="17"/>
  <c r="J22" i="17"/>
  <c r="I22" i="17"/>
  <c r="H22" i="17"/>
  <c r="G22" i="17"/>
  <c r="F22" i="17"/>
  <c r="E22" i="17"/>
  <c r="D22" i="17"/>
  <c r="C22" i="17"/>
  <c r="BH20" i="17"/>
  <c r="BG20" i="17"/>
  <c r="BF20" i="17"/>
  <c r="BE20" i="17"/>
  <c r="BD20" i="17"/>
  <c r="BC20" i="17"/>
  <c r="BA20" i="17"/>
  <c r="T20" i="17"/>
  <c r="S20" i="17"/>
  <c r="R20" i="17"/>
  <c r="Q20" i="17"/>
  <c r="P20" i="17"/>
  <c r="O20" i="17"/>
  <c r="N20" i="17"/>
  <c r="M20" i="17"/>
  <c r="J20" i="17"/>
  <c r="I20" i="17"/>
  <c r="H20" i="17"/>
  <c r="G20" i="17"/>
  <c r="F20" i="17"/>
  <c r="E20" i="17"/>
  <c r="D20" i="17"/>
  <c r="C20" i="17"/>
  <c r="BH18" i="17"/>
  <c r="BG18" i="17"/>
  <c r="BF18" i="17"/>
  <c r="BE18" i="17"/>
  <c r="BD18" i="17"/>
  <c r="BC18" i="17"/>
  <c r="BA18" i="17"/>
  <c r="T18" i="17"/>
  <c r="S18" i="17"/>
  <c r="R18" i="17"/>
  <c r="Q18" i="17"/>
  <c r="P18" i="17"/>
  <c r="O18" i="17"/>
  <c r="N18" i="17"/>
  <c r="M18" i="17"/>
  <c r="J18" i="17"/>
  <c r="I18" i="17"/>
  <c r="H18" i="17"/>
  <c r="G18" i="17"/>
  <c r="F18" i="17"/>
  <c r="E18" i="17"/>
  <c r="D18" i="17"/>
  <c r="C18" i="17"/>
  <c r="BH16" i="17"/>
  <c r="BG16" i="17"/>
  <c r="BF16" i="17"/>
  <c r="BE16" i="17"/>
  <c r="BD16" i="17"/>
  <c r="BC16" i="17"/>
  <c r="BA16" i="17"/>
  <c r="T16" i="17"/>
  <c r="S16" i="17"/>
  <c r="R16" i="17"/>
  <c r="Q16" i="17"/>
  <c r="P16" i="17"/>
  <c r="O16" i="17"/>
  <c r="N16" i="17"/>
  <c r="M16" i="17"/>
  <c r="J16" i="17"/>
  <c r="I16" i="17"/>
  <c r="H16" i="17"/>
  <c r="G16" i="17"/>
  <c r="F16" i="17"/>
  <c r="E16" i="17"/>
  <c r="D16" i="17"/>
  <c r="C16" i="17"/>
  <c r="BH14" i="17"/>
  <c r="BG14" i="17"/>
  <c r="BF14" i="17"/>
  <c r="BE14" i="17"/>
  <c r="BD14" i="17"/>
  <c r="BC14" i="17"/>
  <c r="BA14" i="17"/>
  <c r="T14" i="17"/>
  <c r="S14" i="17"/>
  <c r="R14" i="17"/>
  <c r="Q14" i="17"/>
  <c r="P14" i="17"/>
  <c r="O14" i="17"/>
  <c r="N14" i="17"/>
  <c r="M14" i="17"/>
  <c r="J14" i="17"/>
  <c r="I14" i="17"/>
  <c r="H14" i="17"/>
  <c r="G14" i="17"/>
  <c r="F14" i="17"/>
  <c r="E14" i="17"/>
  <c r="D14" i="17"/>
  <c r="C14" i="17"/>
  <c r="BH12" i="17"/>
  <c r="BG12" i="17"/>
  <c r="BF12" i="17"/>
  <c r="BE12" i="17"/>
  <c r="BD12" i="17"/>
  <c r="BC12" i="17"/>
  <c r="BA12" i="17"/>
  <c r="T12" i="17"/>
  <c r="S12" i="17"/>
  <c r="R12" i="17"/>
  <c r="Q12" i="17"/>
  <c r="P12" i="17"/>
  <c r="O12" i="17"/>
  <c r="N12" i="17"/>
  <c r="M12" i="17"/>
  <c r="J12" i="17"/>
  <c r="I12" i="17"/>
  <c r="H12" i="17"/>
  <c r="G12" i="17"/>
  <c r="F12" i="17"/>
  <c r="E12" i="17"/>
  <c r="D12" i="17"/>
  <c r="C12" i="17"/>
  <c r="BH10" i="17"/>
  <c r="BG10" i="17"/>
  <c r="BF10" i="17"/>
  <c r="BE10" i="17"/>
  <c r="BD10" i="17"/>
  <c r="BC10" i="17"/>
  <c r="BA10" i="17"/>
  <c r="T10" i="17"/>
  <c r="S10" i="17"/>
  <c r="R10" i="17"/>
  <c r="Q10" i="17"/>
  <c r="P10" i="17"/>
  <c r="O10" i="17"/>
  <c r="N10" i="17"/>
  <c r="M10" i="17"/>
  <c r="J10" i="17"/>
  <c r="I10" i="17"/>
  <c r="H10" i="17"/>
  <c r="G10" i="17"/>
  <c r="F10" i="17"/>
  <c r="E10" i="17"/>
  <c r="D10" i="17"/>
  <c r="C10" i="17"/>
  <c r="BH8" i="17"/>
  <c r="BG8" i="17"/>
  <c r="BF8" i="17"/>
  <c r="BE8" i="17"/>
  <c r="BD8" i="17"/>
  <c r="BC8" i="17"/>
  <c r="BA8" i="17"/>
  <c r="T8" i="17"/>
  <c r="S8" i="17"/>
  <c r="R8" i="17"/>
  <c r="Q8" i="17"/>
  <c r="P8" i="17"/>
  <c r="O8" i="17"/>
  <c r="N8" i="17"/>
  <c r="M8" i="17"/>
  <c r="J8" i="17"/>
  <c r="I8" i="17"/>
  <c r="H8" i="17"/>
  <c r="G8" i="17"/>
  <c r="F8" i="17"/>
  <c r="E8" i="17"/>
  <c r="D8" i="17"/>
  <c r="C8" i="17"/>
  <c r="BH6" i="17"/>
  <c r="BG6" i="17"/>
  <c r="BF6" i="17"/>
  <c r="BE6" i="17"/>
  <c r="BD6" i="17"/>
  <c r="BC6" i="17"/>
  <c r="BA6" i="17"/>
  <c r="T6" i="17"/>
  <c r="S6" i="17"/>
  <c r="R6" i="17"/>
  <c r="Q6" i="17"/>
  <c r="P6" i="17"/>
  <c r="O6" i="17"/>
  <c r="N6" i="17"/>
  <c r="M6" i="17"/>
  <c r="J6" i="17"/>
  <c r="I6" i="17"/>
  <c r="H6" i="17"/>
  <c r="G6" i="17"/>
  <c r="F6" i="17"/>
  <c r="E6" i="17"/>
  <c r="D6" i="17"/>
  <c r="C6" i="17"/>
  <c r="C1" i="16"/>
  <c r="A6" i="16" l="1"/>
  <c r="I6" i="16"/>
  <c r="H7" i="16"/>
  <c r="G8" i="16"/>
  <c r="F9" i="16"/>
  <c r="E10" i="16"/>
  <c r="D11" i="16"/>
  <c r="C12" i="16"/>
  <c r="B13" i="16"/>
  <c r="A14" i="16"/>
  <c r="I14" i="16"/>
  <c r="H15" i="16"/>
  <c r="G16" i="16"/>
  <c r="F17" i="16"/>
  <c r="E18" i="16"/>
  <c r="D19" i="16"/>
  <c r="C20" i="16"/>
  <c r="B21" i="16"/>
  <c r="A22" i="16"/>
  <c r="I22" i="16"/>
  <c r="H23" i="16"/>
  <c r="G24" i="16"/>
  <c r="F25" i="16"/>
  <c r="E26" i="16"/>
  <c r="D27" i="16"/>
  <c r="C28" i="16"/>
  <c r="B29" i="16"/>
  <c r="A30" i="16"/>
  <c r="I30" i="16"/>
  <c r="H31" i="16"/>
  <c r="G32" i="16"/>
  <c r="F33" i="16"/>
  <c r="E34" i="16"/>
  <c r="D35" i="16"/>
  <c r="C36" i="16"/>
  <c r="B37" i="16"/>
  <c r="A38" i="16"/>
  <c r="I38" i="16"/>
  <c r="H39" i="16"/>
  <c r="G40" i="16"/>
  <c r="F41" i="16"/>
  <c r="E42" i="16"/>
  <c r="D43" i="16"/>
  <c r="C44" i="16"/>
  <c r="B45" i="16"/>
  <c r="A46" i="16"/>
  <c r="I46" i="16"/>
  <c r="H47" i="16"/>
  <c r="G48" i="16"/>
  <c r="F49" i="16"/>
  <c r="E50" i="16"/>
  <c r="D51" i="16"/>
  <c r="C52" i="16"/>
  <c r="B53" i="16"/>
  <c r="A54" i="16"/>
  <c r="I54" i="16"/>
  <c r="H55" i="16"/>
  <c r="G56" i="16"/>
  <c r="F57" i="16"/>
  <c r="E58" i="16"/>
  <c r="D59" i="16"/>
  <c r="C60" i="16"/>
  <c r="B61" i="16"/>
  <c r="A62" i="16"/>
  <c r="I62" i="16"/>
  <c r="H63" i="16"/>
  <c r="G64" i="16"/>
  <c r="F65" i="16"/>
  <c r="E66" i="16"/>
  <c r="D67" i="16"/>
  <c r="C68" i="16"/>
  <c r="B69" i="16"/>
  <c r="A70" i="16"/>
  <c r="I70" i="16"/>
  <c r="H71" i="16"/>
  <c r="G72" i="16"/>
  <c r="F73" i="16"/>
  <c r="E74" i="16"/>
  <c r="D75" i="16"/>
  <c r="C76" i="16"/>
  <c r="B77" i="16"/>
  <c r="A78" i="16"/>
  <c r="I78" i="16"/>
  <c r="H79" i="16"/>
  <c r="G80" i="16"/>
  <c r="B6" i="16"/>
  <c r="A7" i="16"/>
  <c r="I7" i="16"/>
  <c r="H8" i="16"/>
  <c r="G9" i="16"/>
  <c r="F10" i="16"/>
  <c r="E11" i="16"/>
  <c r="D12" i="16"/>
  <c r="C13" i="16"/>
  <c r="B14" i="16"/>
  <c r="A15" i="16"/>
  <c r="I15" i="16"/>
  <c r="H16" i="16"/>
  <c r="G17" i="16"/>
  <c r="F18" i="16"/>
  <c r="E19" i="16"/>
  <c r="D20" i="16"/>
  <c r="C21" i="16"/>
  <c r="B22" i="16"/>
  <c r="A23" i="16"/>
  <c r="I23" i="16"/>
  <c r="H24" i="16"/>
  <c r="G25" i="16"/>
  <c r="F26" i="16"/>
  <c r="E27" i="16"/>
  <c r="D28" i="16"/>
  <c r="C29" i="16"/>
  <c r="B30" i="16"/>
  <c r="A31" i="16"/>
  <c r="I31" i="16"/>
  <c r="H32" i="16"/>
  <c r="G33" i="16"/>
  <c r="F34" i="16"/>
  <c r="E35" i="16"/>
  <c r="D36" i="16"/>
  <c r="C37" i="16"/>
  <c r="B38" i="16"/>
  <c r="A39" i="16"/>
  <c r="I39" i="16"/>
  <c r="H40" i="16"/>
  <c r="G41" i="16"/>
  <c r="F42" i="16"/>
  <c r="E43" i="16"/>
  <c r="D44" i="16"/>
  <c r="C45" i="16"/>
  <c r="B46" i="16"/>
  <c r="A47" i="16"/>
  <c r="I47" i="16"/>
  <c r="H48" i="16"/>
  <c r="G49" i="16"/>
  <c r="F50" i="16"/>
  <c r="E51" i="16"/>
  <c r="D52" i="16"/>
  <c r="C53" i="16"/>
  <c r="B54" i="16"/>
  <c r="A55" i="16"/>
  <c r="I55" i="16"/>
  <c r="H56" i="16"/>
  <c r="G57" i="16"/>
  <c r="F58" i="16"/>
  <c r="E59" i="16"/>
  <c r="D60" i="16"/>
  <c r="C61" i="16"/>
  <c r="B62" i="16"/>
  <c r="A63" i="16"/>
  <c r="I63" i="16"/>
  <c r="H64" i="16"/>
  <c r="G65" i="16"/>
  <c r="F66" i="16"/>
  <c r="E67" i="16"/>
  <c r="D68" i="16"/>
  <c r="C69" i="16"/>
  <c r="B70" i="16"/>
  <c r="A71" i="16"/>
  <c r="I71" i="16"/>
  <c r="H72" i="16"/>
  <c r="G73" i="16"/>
  <c r="F74" i="16"/>
  <c r="E75" i="16"/>
  <c r="D76" i="16"/>
  <c r="C77" i="16"/>
  <c r="B78" i="16"/>
  <c r="A79" i="16"/>
  <c r="I79" i="16"/>
  <c r="H80" i="16"/>
  <c r="C6" i="16"/>
  <c r="B7" i="16"/>
  <c r="A8" i="16"/>
  <c r="I8" i="16"/>
  <c r="H9" i="16"/>
  <c r="G10" i="16"/>
  <c r="F11" i="16"/>
  <c r="E12" i="16"/>
  <c r="D13" i="16"/>
  <c r="C14" i="16"/>
  <c r="B15" i="16"/>
  <c r="A16" i="16"/>
  <c r="I16" i="16"/>
  <c r="H17" i="16"/>
  <c r="G18" i="16"/>
  <c r="F19" i="16"/>
  <c r="E20" i="16"/>
  <c r="D21" i="16"/>
  <c r="C22" i="16"/>
  <c r="B23" i="16"/>
  <c r="A24" i="16"/>
  <c r="I24" i="16"/>
  <c r="H25" i="16"/>
  <c r="G26" i="16"/>
  <c r="F27" i="16"/>
  <c r="E28" i="16"/>
  <c r="D29" i="16"/>
  <c r="C30" i="16"/>
  <c r="B31" i="16"/>
  <c r="A32" i="16"/>
  <c r="I32" i="16"/>
  <c r="H33" i="16"/>
  <c r="G34" i="16"/>
  <c r="F35" i="16"/>
  <c r="E36" i="16"/>
  <c r="D37" i="16"/>
  <c r="C38" i="16"/>
  <c r="B39" i="16"/>
  <c r="A40" i="16"/>
  <c r="I40" i="16"/>
  <c r="H41" i="16"/>
  <c r="G42" i="16"/>
  <c r="F43" i="16"/>
  <c r="E44" i="16"/>
  <c r="D45" i="16"/>
  <c r="C46" i="16"/>
  <c r="B47" i="16"/>
  <c r="A48" i="16"/>
  <c r="I48" i="16"/>
  <c r="H49" i="16"/>
  <c r="G50" i="16"/>
  <c r="F51" i="16"/>
  <c r="E52" i="16"/>
  <c r="D53" i="16"/>
  <c r="C54" i="16"/>
  <c r="B55" i="16"/>
  <c r="A56" i="16"/>
  <c r="I56" i="16"/>
  <c r="H57" i="16"/>
  <c r="G58" i="16"/>
  <c r="F59" i="16"/>
  <c r="E60" i="16"/>
  <c r="D61" i="16"/>
  <c r="C62" i="16"/>
  <c r="B63" i="16"/>
  <c r="A64" i="16"/>
  <c r="I64" i="16"/>
  <c r="H65" i="16"/>
  <c r="G66" i="16"/>
  <c r="F67" i="16"/>
  <c r="E68" i="16"/>
  <c r="D69" i="16"/>
  <c r="C70" i="16"/>
  <c r="B71" i="16"/>
  <c r="A72" i="16"/>
  <c r="I72" i="16"/>
  <c r="H73" i="16"/>
  <c r="G74" i="16"/>
  <c r="F75" i="16"/>
  <c r="E76" i="16"/>
  <c r="D77" i="16"/>
  <c r="C78" i="16"/>
  <c r="B79" i="16"/>
  <c r="A80" i="16"/>
  <c r="I80" i="16"/>
  <c r="D6" i="16"/>
  <c r="C7" i="16"/>
  <c r="B8" i="16"/>
  <c r="A9" i="16"/>
  <c r="I9" i="16"/>
  <c r="H10" i="16"/>
  <c r="G11" i="16"/>
  <c r="F12" i="16"/>
  <c r="E13" i="16"/>
  <c r="D14" i="16"/>
  <c r="C15" i="16"/>
  <c r="B16" i="16"/>
  <c r="A17" i="16"/>
  <c r="I17" i="16"/>
  <c r="H18" i="16"/>
  <c r="G19" i="16"/>
  <c r="F20" i="16"/>
  <c r="E21" i="16"/>
  <c r="D22" i="16"/>
  <c r="C23" i="16"/>
  <c r="B24" i="16"/>
  <c r="A25" i="16"/>
  <c r="I25" i="16"/>
  <c r="H26" i="16"/>
  <c r="G27" i="16"/>
  <c r="F28" i="16"/>
  <c r="E29" i="16"/>
  <c r="D30" i="16"/>
  <c r="C31" i="16"/>
  <c r="B32" i="16"/>
  <c r="A33" i="16"/>
  <c r="I33" i="16"/>
  <c r="H34" i="16"/>
  <c r="G35" i="16"/>
  <c r="F36" i="16"/>
  <c r="E37" i="16"/>
  <c r="D38" i="16"/>
  <c r="C39" i="16"/>
  <c r="B40" i="16"/>
  <c r="A41" i="16"/>
  <c r="I41" i="16"/>
  <c r="H42" i="16"/>
  <c r="G43" i="16"/>
  <c r="F44" i="16"/>
  <c r="E45" i="16"/>
  <c r="D46" i="16"/>
  <c r="C47" i="16"/>
  <c r="B48" i="16"/>
  <c r="A49" i="16"/>
  <c r="I49" i="16"/>
  <c r="H50" i="16"/>
  <c r="G51" i="16"/>
  <c r="F52" i="16"/>
  <c r="E53" i="16"/>
  <c r="D54" i="16"/>
  <c r="C55" i="16"/>
  <c r="B56" i="16"/>
  <c r="A57" i="16"/>
  <c r="I57" i="16"/>
  <c r="H58" i="16"/>
  <c r="G59" i="16"/>
  <c r="F60" i="16"/>
  <c r="E61" i="16"/>
  <c r="D62" i="16"/>
  <c r="C63" i="16"/>
  <c r="B64" i="16"/>
  <c r="A65" i="16"/>
  <c r="I65" i="16"/>
  <c r="H66" i="16"/>
  <c r="G67" i="16"/>
  <c r="F68" i="16"/>
  <c r="E69" i="16"/>
  <c r="D70" i="16"/>
  <c r="C71" i="16"/>
  <c r="B72" i="16"/>
  <c r="A73" i="16"/>
  <c r="I73" i="16"/>
  <c r="H74" i="16"/>
  <c r="G75" i="16"/>
  <c r="E6" i="16"/>
  <c r="D7" i="16"/>
  <c r="C8" i="16"/>
  <c r="B9" i="16"/>
  <c r="A10" i="16"/>
  <c r="I10" i="16"/>
  <c r="H11" i="16"/>
  <c r="G12" i="16"/>
  <c r="F13" i="16"/>
  <c r="E14" i="16"/>
  <c r="D15" i="16"/>
  <c r="C16" i="16"/>
  <c r="B17" i="16"/>
  <c r="A18" i="16"/>
  <c r="I18" i="16"/>
  <c r="H19" i="16"/>
  <c r="G20" i="16"/>
  <c r="F21" i="16"/>
  <c r="E22" i="16"/>
  <c r="D23" i="16"/>
  <c r="C24" i="16"/>
  <c r="B25" i="16"/>
  <c r="A26" i="16"/>
  <c r="I26" i="16"/>
  <c r="H27" i="16"/>
  <c r="G28" i="16"/>
  <c r="F29" i="16"/>
  <c r="E30" i="16"/>
  <c r="D31" i="16"/>
  <c r="C32" i="16"/>
  <c r="B33" i="16"/>
  <c r="A34" i="16"/>
  <c r="I34" i="16"/>
  <c r="H35" i="16"/>
  <c r="G36" i="16"/>
  <c r="F37" i="16"/>
  <c r="E38" i="16"/>
  <c r="D39" i="16"/>
  <c r="C40" i="16"/>
  <c r="B41" i="16"/>
  <c r="A42" i="16"/>
  <c r="I42" i="16"/>
  <c r="H43" i="16"/>
  <c r="G44" i="16"/>
  <c r="F45" i="16"/>
  <c r="E46" i="16"/>
  <c r="D47" i="16"/>
  <c r="C48" i="16"/>
  <c r="B49" i="16"/>
  <c r="A50" i="16"/>
  <c r="I50" i="16"/>
  <c r="H51" i="16"/>
  <c r="G52" i="16"/>
  <c r="F53" i="16"/>
  <c r="E54" i="16"/>
  <c r="D55" i="16"/>
  <c r="C56" i="16"/>
  <c r="B57" i="16"/>
  <c r="A58" i="16"/>
  <c r="I58" i="16"/>
  <c r="H59" i="16"/>
  <c r="G60" i="16"/>
  <c r="F61" i="16"/>
  <c r="E62" i="16"/>
  <c r="D63" i="16"/>
  <c r="C64" i="16"/>
  <c r="B65" i="16"/>
  <c r="A66" i="16"/>
  <c r="I66" i="16"/>
  <c r="H67" i="16"/>
  <c r="G68" i="16"/>
  <c r="F69" i="16"/>
  <c r="E70" i="16"/>
  <c r="D71" i="16"/>
  <c r="C72" i="16"/>
  <c r="B73" i="16"/>
  <c r="A74" i="16"/>
  <c r="I74" i="16"/>
  <c r="H75" i="16"/>
  <c r="G76" i="16"/>
  <c r="F6" i="16"/>
  <c r="E7" i="16"/>
  <c r="D8" i="16"/>
  <c r="C9" i="16"/>
  <c r="B10" i="16"/>
  <c r="A11" i="16"/>
  <c r="I11" i="16"/>
  <c r="H12" i="16"/>
  <c r="G13" i="16"/>
  <c r="F14" i="16"/>
  <c r="E15" i="16"/>
  <c r="D16" i="16"/>
  <c r="C17" i="16"/>
  <c r="B18" i="16"/>
  <c r="A19" i="16"/>
  <c r="I19" i="16"/>
  <c r="H20" i="16"/>
  <c r="G21" i="16"/>
  <c r="F22" i="16"/>
  <c r="E23" i="16"/>
  <c r="D24" i="16"/>
  <c r="C25" i="16"/>
  <c r="B26" i="16"/>
  <c r="A27" i="16"/>
  <c r="I27" i="16"/>
  <c r="H28" i="16"/>
  <c r="G29" i="16"/>
  <c r="F30" i="16"/>
  <c r="E31" i="16"/>
  <c r="D32" i="16"/>
  <c r="C33" i="16"/>
  <c r="B34" i="16"/>
  <c r="A35" i="16"/>
  <c r="I35" i="16"/>
  <c r="H36" i="16"/>
  <c r="G37" i="16"/>
  <c r="F38" i="16"/>
  <c r="E39" i="16"/>
  <c r="D40" i="16"/>
  <c r="C41" i="16"/>
  <c r="B42" i="16"/>
  <c r="A43" i="16"/>
  <c r="I43" i="16"/>
  <c r="H44" i="16"/>
  <c r="G45" i="16"/>
  <c r="F46" i="16"/>
  <c r="E47" i="16"/>
  <c r="D48" i="16"/>
  <c r="C49" i="16"/>
  <c r="B50" i="16"/>
  <c r="A51" i="16"/>
  <c r="I51" i="16"/>
  <c r="H52" i="16"/>
  <c r="G53" i="16"/>
  <c r="F54" i="16"/>
  <c r="E55" i="16"/>
  <c r="D56" i="16"/>
  <c r="C57" i="16"/>
  <c r="B58" i="16"/>
  <c r="A59" i="16"/>
  <c r="I59" i="16"/>
  <c r="H60" i="16"/>
  <c r="G61" i="16"/>
  <c r="F62" i="16"/>
  <c r="E63" i="16"/>
  <c r="D64" i="16"/>
  <c r="C65" i="16"/>
  <c r="B66" i="16"/>
  <c r="A67" i="16"/>
  <c r="I67" i="16"/>
  <c r="H68" i="16"/>
  <c r="G69" i="16"/>
  <c r="F70" i="16"/>
  <c r="E71" i="16"/>
  <c r="D72" i="16"/>
  <c r="C73" i="16"/>
  <c r="B74" i="16"/>
  <c r="G6" i="16"/>
  <c r="F7" i="16"/>
  <c r="E8" i="16"/>
  <c r="D9" i="16"/>
  <c r="C10" i="16"/>
  <c r="B11" i="16"/>
  <c r="A12" i="16"/>
  <c r="I12" i="16"/>
  <c r="H13" i="16"/>
  <c r="G14" i="16"/>
  <c r="F15" i="16"/>
  <c r="E16" i="16"/>
  <c r="D17" i="16"/>
  <c r="C18" i="16"/>
  <c r="B19" i="16"/>
  <c r="A20" i="16"/>
  <c r="I20" i="16"/>
  <c r="H21" i="16"/>
  <c r="G22" i="16"/>
  <c r="F23" i="16"/>
  <c r="E24" i="16"/>
  <c r="D25" i="16"/>
  <c r="C26" i="16"/>
  <c r="B27" i="16"/>
  <c r="A28" i="16"/>
  <c r="I28" i="16"/>
  <c r="H29" i="16"/>
  <c r="G30" i="16"/>
  <c r="F31" i="16"/>
  <c r="E32" i="16"/>
  <c r="D33" i="16"/>
  <c r="C34" i="16"/>
  <c r="B35" i="16"/>
  <c r="A36" i="16"/>
  <c r="I36" i="16"/>
  <c r="H37" i="16"/>
  <c r="G38" i="16"/>
  <c r="F39" i="16"/>
  <c r="E40" i="16"/>
  <c r="D41" i="16"/>
  <c r="C42" i="16"/>
  <c r="B43" i="16"/>
  <c r="A44" i="16"/>
  <c r="I44" i="16"/>
  <c r="H45" i="16"/>
  <c r="G46" i="16"/>
  <c r="F47" i="16"/>
  <c r="E48" i="16"/>
  <c r="D49" i="16"/>
  <c r="C50" i="16"/>
  <c r="B51" i="16"/>
  <c r="A52" i="16"/>
  <c r="I52" i="16"/>
  <c r="H53" i="16"/>
  <c r="G54" i="16"/>
  <c r="F55" i="16"/>
  <c r="E56" i="16"/>
  <c r="D57" i="16"/>
  <c r="C58" i="16"/>
  <c r="B59" i="16"/>
  <c r="A60" i="16"/>
  <c r="I60" i="16"/>
  <c r="H61" i="16"/>
  <c r="G62" i="16"/>
  <c r="F63" i="16"/>
  <c r="E64" i="16"/>
  <c r="D65" i="16"/>
  <c r="C66" i="16"/>
  <c r="B67" i="16"/>
  <c r="A68" i="16"/>
  <c r="I68" i="16"/>
  <c r="H69" i="16"/>
  <c r="G70" i="16"/>
  <c r="F71" i="16"/>
  <c r="H6" i="16"/>
  <c r="I13" i="16"/>
  <c r="A21" i="16"/>
  <c r="B28" i="16"/>
  <c r="C35" i="16"/>
  <c r="D42" i="16"/>
  <c r="E49" i="16"/>
  <c r="F56" i="16"/>
  <c r="G63" i="16"/>
  <c r="H70" i="16"/>
  <c r="A75" i="16"/>
  <c r="I76" i="16"/>
  <c r="E78" i="16"/>
  <c r="G79" i="16"/>
  <c r="C81" i="16"/>
  <c r="B82" i="16"/>
  <c r="A83" i="16"/>
  <c r="I83" i="16"/>
  <c r="H84" i="16"/>
  <c r="G85" i="16"/>
  <c r="F86" i="16"/>
  <c r="E87" i="16"/>
  <c r="D88" i="16"/>
  <c r="C89" i="16"/>
  <c r="B90" i="16"/>
  <c r="A91" i="16"/>
  <c r="I91" i="16"/>
  <c r="H92" i="16"/>
  <c r="G93" i="16"/>
  <c r="F94" i="16"/>
  <c r="E95" i="16"/>
  <c r="D96" i="16"/>
  <c r="C97" i="16"/>
  <c r="B98" i="16"/>
  <c r="A99" i="16"/>
  <c r="I99" i="16"/>
  <c r="H100" i="16"/>
  <c r="G101" i="16"/>
  <c r="F102" i="16"/>
  <c r="E103" i="16"/>
  <c r="D104" i="16"/>
  <c r="C105" i="16"/>
  <c r="B106" i="16"/>
  <c r="A107" i="16"/>
  <c r="I107" i="16"/>
  <c r="H108" i="16"/>
  <c r="G109" i="16"/>
  <c r="F110" i="16"/>
  <c r="E111" i="16"/>
  <c r="D112" i="16"/>
  <c r="C113" i="16"/>
  <c r="B114" i="16"/>
  <c r="A115" i="16"/>
  <c r="I115" i="16"/>
  <c r="H116" i="16"/>
  <c r="G117" i="16"/>
  <c r="F118" i="16"/>
  <c r="E119" i="16"/>
  <c r="D120" i="16"/>
  <c r="C121" i="16"/>
  <c r="B122" i="16"/>
  <c r="A123" i="16"/>
  <c r="I123" i="16"/>
  <c r="H124" i="16"/>
  <c r="G125" i="16"/>
  <c r="F126" i="16"/>
  <c r="E127" i="16"/>
  <c r="D128" i="16"/>
  <c r="C129" i="16"/>
  <c r="B130" i="16"/>
  <c r="A131" i="16"/>
  <c r="I131" i="16"/>
  <c r="H132" i="16"/>
  <c r="G133" i="16"/>
  <c r="F134" i="16"/>
  <c r="E135" i="16"/>
  <c r="E5" i="16"/>
  <c r="A134" i="16"/>
  <c r="F130" i="16"/>
  <c r="I5" i="16"/>
  <c r="C134" i="16"/>
  <c r="F124" i="16"/>
  <c r="H130" i="16"/>
  <c r="G7" i="16"/>
  <c r="H14" i="16"/>
  <c r="I21" i="16"/>
  <c r="A29" i="16"/>
  <c r="B36" i="16"/>
  <c r="C43" i="16"/>
  <c r="D50" i="16"/>
  <c r="E57" i="16"/>
  <c r="F64" i="16"/>
  <c r="G71" i="16"/>
  <c r="B75" i="16"/>
  <c r="A77" i="16"/>
  <c r="F78" i="16"/>
  <c r="B80" i="16"/>
  <c r="D81" i="16"/>
  <c r="C82" i="16"/>
  <c r="B83" i="16"/>
  <c r="A84" i="16"/>
  <c r="I84" i="16"/>
  <c r="H85" i="16"/>
  <c r="G86" i="16"/>
  <c r="F87" i="16"/>
  <c r="E88" i="16"/>
  <c r="D89" i="16"/>
  <c r="C90" i="16"/>
  <c r="B91" i="16"/>
  <c r="A92" i="16"/>
  <c r="I92" i="16"/>
  <c r="H93" i="16"/>
  <c r="G94" i="16"/>
  <c r="F95" i="16"/>
  <c r="E96" i="16"/>
  <c r="D97" i="16"/>
  <c r="C98" i="16"/>
  <c r="B99" i="16"/>
  <c r="A100" i="16"/>
  <c r="I100" i="16"/>
  <c r="H101" i="16"/>
  <c r="G102" i="16"/>
  <c r="F103" i="16"/>
  <c r="E104" i="16"/>
  <c r="D105" i="16"/>
  <c r="C106" i="16"/>
  <c r="B107" i="16"/>
  <c r="A108" i="16"/>
  <c r="I108" i="16"/>
  <c r="H109" i="16"/>
  <c r="G110" i="16"/>
  <c r="F111" i="16"/>
  <c r="E112" i="16"/>
  <c r="D113" i="16"/>
  <c r="C114" i="16"/>
  <c r="B115" i="16"/>
  <c r="A116" i="16"/>
  <c r="I116" i="16"/>
  <c r="H117" i="16"/>
  <c r="G118" i="16"/>
  <c r="F119" i="16"/>
  <c r="E120" i="16"/>
  <c r="D121" i="16"/>
  <c r="C122" i="16"/>
  <c r="B123" i="16"/>
  <c r="A124" i="16"/>
  <c r="I124" i="16"/>
  <c r="H125" i="16"/>
  <c r="G126" i="16"/>
  <c r="F127" i="16"/>
  <c r="E128" i="16"/>
  <c r="D129" i="16"/>
  <c r="C130" i="16"/>
  <c r="B131" i="16"/>
  <c r="A132" i="16"/>
  <c r="I132" i="16"/>
  <c r="H133" i="16"/>
  <c r="G134" i="16"/>
  <c r="F135" i="16"/>
  <c r="F5" i="16"/>
  <c r="G5" i="16"/>
  <c r="H5" i="16"/>
  <c r="E131" i="16"/>
  <c r="H129" i="16"/>
  <c r="B5" i="16"/>
  <c r="A129" i="16"/>
  <c r="D134" i="16"/>
  <c r="F8" i="16"/>
  <c r="G15" i="16"/>
  <c r="H22" i="16"/>
  <c r="I29" i="16"/>
  <c r="A37" i="16"/>
  <c r="B44" i="16"/>
  <c r="C51" i="16"/>
  <c r="D58" i="16"/>
  <c r="E65" i="16"/>
  <c r="E72" i="16"/>
  <c r="C75" i="16"/>
  <c r="E77" i="16"/>
  <c r="G78" i="16"/>
  <c r="C80" i="16"/>
  <c r="E81" i="16"/>
  <c r="D82" i="16"/>
  <c r="C83" i="16"/>
  <c r="B84" i="16"/>
  <c r="A85" i="16"/>
  <c r="I85" i="16"/>
  <c r="H86" i="16"/>
  <c r="G87" i="16"/>
  <c r="F88" i="16"/>
  <c r="E89" i="16"/>
  <c r="D90" i="16"/>
  <c r="C91" i="16"/>
  <c r="B92" i="16"/>
  <c r="A93" i="16"/>
  <c r="I93" i="16"/>
  <c r="H94" i="16"/>
  <c r="G95" i="16"/>
  <c r="F96" i="16"/>
  <c r="E97" i="16"/>
  <c r="D98" i="16"/>
  <c r="C99" i="16"/>
  <c r="B100" i="16"/>
  <c r="A101" i="16"/>
  <c r="I101" i="16"/>
  <c r="H102" i="16"/>
  <c r="G103" i="16"/>
  <c r="F104" i="16"/>
  <c r="E105" i="16"/>
  <c r="D106" i="16"/>
  <c r="C107" i="16"/>
  <c r="B108" i="16"/>
  <c r="A109" i="16"/>
  <c r="I109" i="16"/>
  <c r="H110" i="16"/>
  <c r="G111" i="16"/>
  <c r="F112" i="16"/>
  <c r="E113" i="16"/>
  <c r="D114" i="16"/>
  <c r="C115" i="16"/>
  <c r="B116" i="16"/>
  <c r="A117" i="16"/>
  <c r="I117" i="16"/>
  <c r="H118" i="16"/>
  <c r="G119" i="16"/>
  <c r="F120" i="16"/>
  <c r="E121" i="16"/>
  <c r="D122" i="16"/>
  <c r="C123" i="16"/>
  <c r="B124" i="16"/>
  <c r="A125" i="16"/>
  <c r="I125" i="16"/>
  <c r="H126" i="16"/>
  <c r="G127" i="16"/>
  <c r="F128" i="16"/>
  <c r="E129" i="16"/>
  <c r="D130" i="16"/>
  <c r="C131" i="16"/>
  <c r="B132" i="16"/>
  <c r="A133" i="16"/>
  <c r="I133" i="16"/>
  <c r="H134" i="16"/>
  <c r="G135" i="16"/>
  <c r="I134" i="16"/>
  <c r="D132" i="16"/>
  <c r="I135" i="16"/>
  <c r="E132" i="16"/>
  <c r="B135" i="16"/>
  <c r="B128" i="16"/>
  <c r="F132" i="16"/>
  <c r="E9" i="16"/>
  <c r="F16" i="16"/>
  <c r="G23" i="16"/>
  <c r="H30" i="16"/>
  <c r="I37" i="16"/>
  <c r="A45" i="16"/>
  <c r="B52" i="16"/>
  <c r="C59" i="16"/>
  <c r="D66" i="16"/>
  <c r="F72" i="16"/>
  <c r="I75" i="16"/>
  <c r="F77" i="16"/>
  <c r="H78" i="16"/>
  <c r="D80" i="16"/>
  <c r="F81" i="16"/>
  <c r="E82" i="16"/>
  <c r="D83" i="16"/>
  <c r="C84" i="16"/>
  <c r="B85" i="16"/>
  <c r="A86" i="16"/>
  <c r="I86" i="16"/>
  <c r="H87" i="16"/>
  <c r="G88" i="16"/>
  <c r="F89" i="16"/>
  <c r="E90" i="16"/>
  <c r="D91" i="16"/>
  <c r="C92" i="16"/>
  <c r="B93" i="16"/>
  <c r="A94" i="16"/>
  <c r="I94" i="16"/>
  <c r="H95" i="16"/>
  <c r="G96" i="16"/>
  <c r="F97" i="16"/>
  <c r="E98" i="16"/>
  <c r="D99" i="16"/>
  <c r="C100" i="16"/>
  <c r="B101" i="16"/>
  <c r="A102" i="16"/>
  <c r="I102" i="16"/>
  <c r="H103" i="16"/>
  <c r="G104" i="16"/>
  <c r="F105" i="16"/>
  <c r="E106" i="16"/>
  <c r="D107" i="16"/>
  <c r="C108" i="16"/>
  <c r="B109" i="16"/>
  <c r="A110" i="16"/>
  <c r="I110" i="16"/>
  <c r="H111" i="16"/>
  <c r="G112" i="16"/>
  <c r="F113" i="16"/>
  <c r="E114" i="16"/>
  <c r="D115" i="16"/>
  <c r="C116" i="16"/>
  <c r="B117" i="16"/>
  <c r="A118" i="16"/>
  <c r="I118" i="16"/>
  <c r="H119" i="16"/>
  <c r="G120" i="16"/>
  <c r="F121" i="16"/>
  <c r="E122" i="16"/>
  <c r="D123" i="16"/>
  <c r="C124" i="16"/>
  <c r="B125" i="16"/>
  <c r="A126" i="16"/>
  <c r="I126" i="16"/>
  <c r="H127" i="16"/>
  <c r="G128" i="16"/>
  <c r="F129" i="16"/>
  <c r="E130" i="16"/>
  <c r="D131" i="16"/>
  <c r="C132" i="16"/>
  <c r="B133" i="16"/>
  <c r="H135" i="16"/>
  <c r="C133" i="16"/>
  <c r="A135" i="16"/>
  <c r="G130" i="16"/>
  <c r="E125" i="16"/>
  <c r="E133" i="16"/>
  <c r="D10" i="16"/>
  <c r="E17" i="16"/>
  <c r="F24" i="16"/>
  <c r="G31" i="16"/>
  <c r="H38" i="16"/>
  <c r="I45" i="16"/>
  <c r="A53" i="16"/>
  <c r="B60" i="16"/>
  <c r="C67" i="16"/>
  <c r="D73" i="16"/>
  <c r="A76" i="16"/>
  <c r="G77" i="16"/>
  <c r="C79" i="16"/>
  <c r="E80" i="16"/>
  <c r="G81" i="16"/>
  <c r="F82" i="16"/>
  <c r="E83" i="16"/>
  <c r="D84" i="16"/>
  <c r="C85" i="16"/>
  <c r="B86" i="16"/>
  <c r="A87" i="16"/>
  <c r="I87" i="16"/>
  <c r="H88" i="16"/>
  <c r="G89" i="16"/>
  <c r="F90" i="16"/>
  <c r="E91" i="16"/>
  <c r="D92" i="16"/>
  <c r="C93" i="16"/>
  <c r="B94" i="16"/>
  <c r="A95" i="16"/>
  <c r="I95" i="16"/>
  <c r="H96" i="16"/>
  <c r="G97" i="16"/>
  <c r="F98" i="16"/>
  <c r="E99" i="16"/>
  <c r="D100" i="16"/>
  <c r="C101" i="16"/>
  <c r="B102" i="16"/>
  <c r="A103" i="16"/>
  <c r="I103" i="16"/>
  <c r="H104" i="16"/>
  <c r="G105" i="16"/>
  <c r="F106" i="16"/>
  <c r="E107" i="16"/>
  <c r="D108" i="16"/>
  <c r="C109" i="16"/>
  <c r="B110" i="16"/>
  <c r="A111" i="16"/>
  <c r="I111" i="16"/>
  <c r="H112" i="16"/>
  <c r="G113" i="16"/>
  <c r="F114" i="16"/>
  <c r="E115" i="16"/>
  <c r="D116" i="16"/>
  <c r="C117" i="16"/>
  <c r="B118" i="16"/>
  <c r="A119" i="16"/>
  <c r="I119" i="16"/>
  <c r="H120" i="16"/>
  <c r="G121" i="16"/>
  <c r="F122" i="16"/>
  <c r="E123" i="16"/>
  <c r="D124" i="16"/>
  <c r="C125" i="16"/>
  <c r="B126" i="16"/>
  <c r="A127" i="16"/>
  <c r="I127" i="16"/>
  <c r="H128" i="16"/>
  <c r="G129" i="16"/>
  <c r="B134" i="16"/>
  <c r="F131" i="16"/>
  <c r="A5" i="16"/>
  <c r="I129" i="16"/>
  <c r="C5" i="16"/>
  <c r="C11" i="16"/>
  <c r="D18" i="16"/>
  <c r="E25" i="16"/>
  <c r="F32" i="16"/>
  <c r="G39" i="16"/>
  <c r="H46" i="16"/>
  <c r="I53" i="16"/>
  <c r="A61" i="16"/>
  <c r="B68" i="16"/>
  <c r="E73" i="16"/>
  <c r="B76" i="16"/>
  <c r="H77" i="16"/>
  <c r="D79" i="16"/>
  <c r="F80" i="16"/>
  <c r="H81" i="16"/>
  <c r="G82" i="16"/>
  <c r="F83" i="16"/>
  <c r="E84" i="16"/>
  <c r="D85" i="16"/>
  <c r="C86" i="16"/>
  <c r="B87" i="16"/>
  <c r="A88" i="16"/>
  <c r="I88" i="16"/>
  <c r="H89" i="16"/>
  <c r="G90" i="16"/>
  <c r="F91" i="16"/>
  <c r="E92" i="16"/>
  <c r="D93" i="16"/>
  <c r="C94" i="16"/>
  <c r="B95" i="16"/>
  <c r="A96" i="16"/>
  <c r="I96" i="16"/>
  <c r="H97" i="16"/>
  <c r="G98" i="16"/>
  <c r="F99" i="16"/>
  <c r="E100" i="16"/>
  <c r="D101" i="16"/>
  <c r="C102" i="16"/>
  <c r="B103" i="16"/>
  <c r="A104" i="16"/>
  <c r="I104" i="16"/>
  <c r="H105" i="16"/>
  <c r="G106" i="16"/>
  <c r="F107" i="16"/>
  <c r="E108" i="16"/>
  <c r="D109" i="16"/>
  <c r="C110" i="16"/>
  <c r="B111" i="16"/>
  <c r="A112" i="16"/>
  <c r="I112" i="16"/>
  <c r="H113" i="16"/>
  <c r="G114" i="16"/>
  <c r="F115" i="16"/>
  <c r="E116" i="16"/>
  <c r="D117" i="16"/>
  <c r="C118" i="16"/>
  <c r="B119" i="16"/>
  <c r="A120" i="16"/>
  <c r="I120" i="16"/>
  <c r="H121" i="16"/>
  <c r="G122" i="16"/>
  <c r="F123" i="16"/>
  <c r="E124" i="16"/>
  <c r="D125" i="16"/>
  <c r="C126" i="16"/>
  <c r="B127" i="16"/>
  <c r="A128" i="16"/>
  <c r="I128" i="16"/>
  <c r="D133" i="16"/>
  <c r="C127" i="16"/>
  <c r="C135" i="16"/>
  <c r="B12" i="16"/>
  <c r="C19" i="16"/>
  <c r="D26" i="16"/>
  <c r="E33" i="16"/>
  <c r="F40" i="16"/>
  <c r="G47" i="16"/>
  <c r="H54" i="16"/>
  <c r="I61" i="16"/>
  <c r="A69" i="16"/>
  <c r="C74" i="16"/>
  <c r="F76" i="16"/>
  <c r="I77" i="16"/>
  <c r="E79" i="16"/>
  <c r="A81" i="16"/>
  <c r="I81" i="16"/>
  <c r="H82" i="16"/>
  <c r="G83" i="16"/>
  <c r="F84" i="16"/>
  <c r="E85" i="16"/>
  <c r="D86" i="16"/>
  <c r="C87" i="16"/>
  <c r="B88" i="16"/>
  <c r="A89" i="16"/>
  <c r="I89" i="16"/>
  <c r="H90" i="16"/>
  <c r="G91" i="16"/>
  <c r="F92" i="16"/>
  <c r="E93" i="16"/>
  <c r="D94" i="16"/>
  <c r="C95" i="16"/>
  <c r="B96" i="16"/>
  <c r="A97" i="16"/>
  <c r="I97" i="16"/>
  <c r="H98" i="16"/>
  <c r="G99" i="16"/>
  <c r="F100" i="16"/>
  <c r="E101" i="16"/>
  <c r="D102" i="16"/>
  <c r="C103" i="16"/>
  <c r="B104" i="16"/>
  <c r="A105" i="16"/>
  <c r="I105" i="16"/>
  <c r="H106" i="16"/>
  <c r="G107" i="16"/>
  <c r="F108" i="16"/>
  <c r="E109" i="16"/>
  <c r="D110" i="16"/>
  <c r="C111" i="16"/>
  <c r="B112" i="16"/>
  <c r="A113" i="16"/>
  <c r="I113" i="16"/>
  <c r="H114" i="16"/>
  <c r="G115" i="16"/>
  <c r="F116" i="16"/>
  <c r="E117" i="16"/>
  <c r="D118" i="16"/>
  <c r="C119" i="16"/>
  <c r="B120" i="16"/>
  <c r="A121" i="16"/>
  <c r="I121" i="16"/>
  <c r="H122" i="16"/>
  <c r="G123" i="16"/>
  <c r="D126" i="16"/>
  <c r="G131" i="16"/>
  <c r="A13" i="16"/>
  <c r="B20" i="16"/>
  <c r="C27" i="16"/>
  <c r="D34" i="16"/>
  <c r="E41" i="16"/>
  <c r="F48" i="16"/>
  <c r="G55" i="16"/>
  <c r="H62" i="16"/>
  <c r="I69" i="16"/>
  <c r="D74" i="16"/>
  <c r="H76" i="16"/>
  <c r="D78" i="16"/>
  <c r="F79" i="16"/>
  <c r="B81" i="16"/>
  <c r="A82" i="16"/>
  <c r="I82" i="16"/>
  <c r="H83" i="16"/>
  <c r="G84" i="16"/>
  <c r="F85" i="16"/>
  <c r="E86" i="16"/>
  <c r="D87" i="16"/>
  <c r="C88" i="16"/>
  <c r="B89" i="16"/>
  <c r="A90" i="16"/>
  <c r="I90" i="16"/>
  <c r="H91" i="16"/>
  <c r="G92" i="16"/>
  <c r="F93" i="16"/>
  <c r="E94" i="16"/>
  <c r="D95" i="16"/>
  <c r="C96" i="16"/>
  <c r="B97" i="16"/>
  <c r="A98" i="16"/>
  <c r="I98" i="16"/>
  <c r="H99" i="16"/>
  <c r="G100" i="16"/>
  <c r="F101" i="16"/>
  <c r="E102" i="16"/>
  <c r="D103" i="16"/>
  <c r="C104" i="16"/>
  <c r="B105" i="16"/>
  <c r="A106" i="16"/>
  <c r="I106" i="16"/>
  <c r="H107" i="16"/>
  <c r="G108" i="16"/>
  <c r="F109" i="16"/>
  <c r="E110" i="16"/>
  <c r="D111" i="16"/>
  <c r="C112" i="16"/>
  <c r="B113" i="16"/>
  <c r="A114" i="16"/>
  <c r="I114" i="16"/>
  <c r="H115" i="16"/>
  <c r="G116" i="16"/>
  <c r="F117" i="16"/>
  <c r="E118" i="16"/>
  <c r="D119" i="16"/>
  <c r="C120" i="16"/>
  <c r="B121" i="16"/>
  <c r="A122" i="16"/>
  <c r="I122" i="16"/>
  <c r="H123" i="16"/>
  <c r="G124" i="16"/>
  <c r="F125" i="16"/>
  <c r="E126" i="16"/>
  <c r="D127" i="16"/>
  <c r="C128" i="16"/>
  <c r="B129" i="16"/>
  <c r="A130" i="16"/>
  <c r="I130" i="16"/>
  <c r="H131" i="16"/>
  <c r="G132" i="16"/>
  <c r="F133" i="16"/>
  <c r="E134" i="16"/>
  <c r="D135" i="16"/>
  <c r="D5" i="16"/>
  <c r="D20" i="15"/>
  <c r="F20" i="15" s="1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H12" i="14" l="1"/>
  <c r="H13" i="14"/>
  <c r="H14" i="14"/>
  <c r="H8" i="14"/>
  <c r="H9" i="14"/>
  <c r="H7" i="14"/>
  <c r="H6" i="14"/>
  <c r="P7" i="14"/>
  <c r="P9" i="14"/>
  <c r="E7" i="14"/>
  <c r="X7" i="14"/>
  <c r="E9" i="14"/>
  <c r="X9" i="14"/>
  <c r="H11" i="14"/>
  <c r="H10" i="14"/>
  <c r="H16" i="14"/>
  <c r="H15" i="14"/>
  <c r="E15" i="14"/>
  <c r="X8" i="14"/>
  <c r="X10" i="14"/>
  <c r="X11" i="14"/>
  <c r="X12" i="14"/>
  <c r="X13" i="14"/>
  <c r="X14" i="14"/>
  <c r="X15" i="14"/>
  <c r="P8" i="14"/>
  <c r="P11" i="14"/>
  <c r="P10" i="14"/>
  <c r="P12" i="14"/>
  <c r="P13" i="14"/>
  <c r="P14" i="14"/>
  <c r="P15" i="14"/>
  <c r="E6" i="14"/>
  <c r="E8" i="14"/>
  <c r="E16" i="14"/>
  <c r="E14" i="14"/>
  <c r="E12" i="14"/>
  <c r="E10" i="14"/>
  <c r="E11" i="14"/>
  <c r="E13" i="14"/>
  <c r="X16" i="14"/>
  <c r="X6" i="14"/>
  <c r="P16" i="14"/>
  <c r="P6" i="14"/>
  <c r="B31" i="13"/>
  <c r="B35" i="13" s="1"/>
  <c r="F20" i="13"/>
  <c r="F22" i="13" s="1"/>
  <c r="Y7" i="14" l="1"/>
  <c r="Y9" i="14"/>
  <c r="Y10" i="14"/>
  <c r="Y8" i="14"/>
  <c r="Y14" i="14"/>
  <c r="Y12" i="14"/>
  <c r="Y13" i="14"/>
  <c r="Y11" i="14"/>
  <c r="Y16" i="14"/>
  <c r="Y15" i="14"/>
  <c r="Y6" i="14"/>
  <c r="F26" i="13"/>
  <c r="F25" i="13"/>
  <c r="B8" i="13" l="1"/>
  <c r="B10" i="13" s="1"/>
  <c r="B30" i="13" l="1"/>
  <c r="B20" i="13"/>
  <c r="B22" i="13" s="1"/>
  <c r="B26" i="13" s="1"/>
  <c r="B11" i="13"/>
  <c r="B34" i="13" l="1"/>
  <c r="B25" i="13"/>
  <c r="B13" i="13"/>
  <c r="B16" i="13" s="1"/>
  <c r="B39" i="13" s="1"/>
  <c r="B15" i="13"/>
  <c r="B38" i="13" l="1"/>
</calcChain>
</file>

<file path=xl/sharedStrings.xml><?xml version="1.0" encoding="utf-8"?>
<sst xmlns="http://schemas.openxmlformats.org/spreadsheetml/2006/main" count="302" uniqueCount="138">
  <si>
    <t>液管</t>
    <rPh sb="0" eb="1">
      <t>エキ</t>
    </rPh>
    <rPh sb="1" eb="2">
      <t>クダ</t>
    </rPh>
    <phoneticPr fontId="1"/>
  </si>
  <si>
    <t>L</t>
    <phoneticPr fontId="1"/>
  </si>
  <si>
    <t>kg</t>
    <phoneticPr fontId="1"/>
  </si>
  <si>
    <t>m3/kg</t>
    <phoneticPr fontId="1"/>
  </si>
  <si>
    <t>断面積</t>
    <rPh sb="0" eb="3">
      <t>ダンメンセキ</t>
    </rPh>
    <phoneticPr fontId="1"/>
  </si>
  <si>
    <t>m2</t>
    <phoneticPr fontId="1"/>
  </si>
  <si>
    <t>管長</t>
    <rPh sb="0" eb="1">
      <t>クダ</t>
    </rPh>
    <rPh sb="1" eb="2">
      <t>チョウ</t>
    </rPh>
    <phoneticPr fontId="1"/>
  </si>
  <si>
    <t>m</t>
    <phoneticPr fontId="1"/>
  </si>
  <si>
    <t>冷媒量</t>
    <rPh sb="0" eb="2">
      <t>レイバイ</t>
    </rPh>
    <rPh sb="2" eb="3">
      <t>リョウ</t>
    </rPh>
    <phoneticPr fontId="1"/>
  </si>
  <si>
    <t>m3</t>
    <phoneticPr fontId="1"/>
  </si>
  <si>
    <t>パイプ径</t>
    <rPh sb="3" eb="4">
      <t>ケイ</t>
    </rPh>
    <phoneticPr fontId="1"/>
  </si>
  <si>
    <t>コイル</t>
    <phoneticPr fontId="1"/>
  </si>
  <si>
    <t>内容積</t>
    <rPh sb="0" eb="2">
      <t>ナイヨウ</t>
    </rPh>
    <rPh sb="2" eb="3">
      <t>セキ</t>
    </rPh>
    <phoneticPr fontId="1"/>
  </si>
  <si>
    <t>コイル数</t>
    <rPh sb="3" eb="4">
      <t>スウ</t>
    </rPh>
    <phoneticPr fontId="1"/>
  </si>
  <si>
    <t>比体積(液)</t>
    <rPh sb="0" eb="1">
      <t>ヒ</t>
    </rPh>
    <rPh sb="1" eb="3">
      <t>タイセキ</t>
    </rPh>
    <rPh sb="4" eb="5">
      <t>エキ</t>
    </rPh>
    <phoneticPr fontId="1"/>
  </si>
  <si>
    <t>保有量</t>
    <rPh sb="0" eb="2">
      <t>ホユウ</t>
    </rPh>
    <rPh sb="2" eb="3">
      <t>リョウ</t>
    </rPh>
    <phoneticPr fontId="1"/>
  </si>
  <si>
    <t>冷凍機</t>
    <rPh sb="0" eb="3">
      <t>レイトウキ</t>
    </rPh>
    <phoneticPr fontId="1"/>
  </si>
  <si>
    <t>×0.8</t>
    <phoneticPr fontId="1"/>
  </si>
  <si>
    <t>kg/台</t>
    <rPh sb="3" eb="4">
      <t>ダイ</t>
    </rPh>
    <phoneticPr fontId="1"/>
  </si>
  <si>
    <t>冷媒容量</t>
    <rPh sb="0" eb="2">
      <t>レイバイ</t>
    </rPh>
    <rPh sb="2" eb="4">
      <t>ヨウリョウ</t>
    </rPh>
    <phoneticPr fontId="1"/>
  </si>
  <si>
    <t>液容積</t>
    <rPh sb="0" eb="1">
      <t>エキ</t>
    </rPh>
    <rPh sb="1" eb="3">
      <t>ヨウセキ</t>
    </rPh>
    <phoneticPr fontId="1"/>
  </si>
  <si>
    <t>冷媒量(液)</t>
    <rPh sb="0" eb="2">
      <t>レイバイ</t>
    </rPh>
    <rPh sb="2" eb="3">
      <t>リョウ</t>
    </rPh>
    <rPh sb="4" eb="5">
      <t>エキ</t>
    </rPh>
    <phoneticPr fontId="1"/>
  </si>
  <si>
    <t>容量</t>
    <rPh sb="0" eb="2">
      <t>ヨウリョウ</t>
    </rPh>
    <phoneticPr fontId="1"/>
  </si>
  <si>
    <t>◆レシーバー</t>
    <phoneticPr fontId="1"/>
  </si>
  <si>
    <t>運転時容量</t>
    <rPh sb="0" eb="2">
      <t>ウンテン</t>
    </rPh>
    <rPh sb="2" eb="3">
      <t>ジ</t>
    </rPh>
    <rPh sb="3" eb="5">
      <t>ヨウリョウ</t>
    </rPh>
    <phoneticPr fontId="1"/>
  </si>
  <si>
    <t>×0.3</t>
    <phoneticPr fontId="1"/>
  </si>
  <si>
    <t>個</t>
    <rPh sb="0" eb="1">
      <t>コ</t>
    </rPh>
    <phoneticPr fontId="1"/>
  </si>
  <si>
    <t>×1.1</t>
    <phoneticPr fontId="1"/>
  </si>
  <si>
    <t>※ベンド、ヘッダー見込む</t>
    <rPh sb="9" eb="11">
      <t>ミコ</t>
    </rPh>
    <phoneticPr fontId="1"/>
  </si>
  <si>
    <r>
      <rPr>
        <sz val="11"/>
        <color theme="1"/>
        <rFont val="游ゴシック"/>
        <family val="2"/>
        <charset val="128"/>
      </rPr>
      <t>◆</t>
    </r>
    <r>
      <rPr>
        <sz val="11"/>
        <color theme="1"/>
        <rFont val="游ゴシック"/>
        <family val="2"/>
        <charset val="128"/>
        <scheme val="minor"/>
      </rPr>
      <t xml:space="preserve"> クーラーコイル（冷凍機あたり）</t>
    </r>
    <rPh sb="10" eb="13">
      <t>レイトウキ</t>
    </rPh>
    <phoneticPr fontId="1"/>
  </si>
  <si>
    <t>φ12.7　16列×20段×EL2400</t>
    <rPh sb="8" eb="9">
      <t>レツ</t>
    </rPh>
    <rPh sb="12" eb="13">
      <t>ダン</t>
    </rPh>
    <phoneticPr fontId="1"/>
  </si>
  <si>
    <t>-32℃</t>
    <phoneticPr fontId="1"/>
  </si>
  <si>
    <t>×0.1</t>
    <phoneticPr fontId="1"/>
  </si>
  <si>
    <t>20℃</t>
    <phoneticPr fontId="1"/>
  </si>
  <si>
    <t>×0.2</t>
    <phoneticPr fontId="1"/>
  </si>
  <si>
    <t>◆充填量</t>
    <rPh sb="1" eb="4">
      <t>ジュウテンリョウ</t>
    </rPh>
    <phoneticPr fontId="1"/>
  </si>
  <si>
    <t>充填容量</t>
    <rPh sb="0" eb="2">
      <t>ジュウテン</t>
    </rPh>
    <rPh sb="2" eb="4">
      <t>ヨウリョウ</t>
    </rPh>
    <phoneticPr fontId="1"/>
  </si>
  <si>
    <t>充填量</t>
    <rPh sb="0" eb="3">
      <t>ジュウテンリョウ</t>
    </rPh>
    <phoneticPr fontId="1"/>
  </si>
  <si>
    <t>L/台</t>
    <rPh sb="2" eb="3">
      <t>ダイ</t>
    </rPh>
    <phoneticPr fontId="1"/>
  </si>
  <si>
    <r>
      <rPr>
        <sz val="11"/>
        <color theme="1"/>
        <rFont val="游ゴシック"/>
        <family val="2"/>
        <charset val="128"/>
      </rPr>
      <t>◆</t>
    </r>
    <r>
      <rPr>
        <sz val="11"/>
        <color theme="1"/>
        <rFont val="游ゴシック"/>
        <family val="2"/>
        <charset val="128"/>
        <scheme val="minor"/>
      </rPr>
      <t xml:space="preserve"> 液管　φ22.22</t>
    </r>
    <rPh sb="2" eb="3">
      <t>エキ</t>
    </rPh>
    <rPh sb="3" eb="4">
      <t>クダ</t>
    </rPh>
    <phoneticPr fontId="1"/>
  </si>
  <si>
    <r>
      <rPr>
        <sz val="11"/>
        <color theme="1"/>
        <rFont val="游ゴシック"/>
        <family val="2"/>
        <charset val="128"/>
      </rPr>
      <t>◆</t>
    </r>
    <r>
      <rPr>
        <sz val="11"/>
        <color theme="1"/>
        <rFont val="游ゴシック"/>
        <family val="2"/>
        <charset val="128"/>
        <scheme val="minor"/>
      </rPr>
      <t xml:space="preserve"> ガス管　φ25.4</t>
    </r>
    <rPh sb="4" eb="5">
      <t>クダ</t>
    </rPh>
    <phoneticPr fontId="1"/>
  </si>
  <si>
    <t>比体積(気)</t>
    <rPh sb="0" eb="1">
      <t>ヒ</t>
    </rPh>
    <rPh sb="1" eb="3">
      <t>タイセキ</t>
    </rPh>
    <rPh sb="4" eb="5">
      <t>キ</t>
    </rPh>
    <phoneticPr fontId="1"/>
  </si>
  <si>
    <t>×1.0</t>
    <phoneticPr fontId="1"/>
  </si>
  <si>
    <t>庫内温度</t>
    <rPh sb="0" eb="2">
      <t>コナイ</t>
    </rPh>
    <rPh sb="2" eb="4">
      <t>オンド</t>
    </rPh>
    <phoneticPr fontId="1"/>
  </si>
  <si>
    <t>●冷凍保管庫　CO2</t>
    <rPh sb="1" eb="3">
      <t>レイトウ</t>
    </rPh>
    <rPh sb="3" eb="6">
      <t>ホカンコ</t>
    </rPh>
    <phoneticPr fontId="1"/>
  </si>
  <si>
    <t>-25</t>
    <phoneticPr fontId="1"/>
  </si>
  <si>
    <t>℃</t>
    <phoneticPr fontId="1"/>
  </si>
  <si>
    <t>OCU-CR4000MVF</t>
    <phoneticPr fontId="1"/>
  </si>
  <si>
    <t>◆冷媒充填量</t>
    <rPh sb="1" eb="6">
      <t>レイバイジュウテンリョウ</t>
    </rPh>
    <phoneticPr fontId="1"/>
  </si>
  <si>
    <t>系統</t>
    <rPh sb="0" eb="2">
      <t>ケイトウ</t>
    </rPh>
    <phoneticPr fontId="1"/>
  </si>
  <si>
    <t>冷却器</t>
    <rPh sb="0" eb="3">
      <t>レイキャクキ</t>
    </rPh>
    <phoneticPr fontId="1"/>
  </si>
  <si>
    <t>受液器</t>
    <rPh sb="0" eb="3">
      <t>ジュエキキ</t>
    </rPh>
    <phoneticPr fontId="1"/>
  </si>
  <si>
    <t>液管</t>
    <rPh sb="0" eb="2">
      <t>エキカン</t>
    </rPh>
    <phoneticPr fontId="1"/>
  </si>
  <si>
    <t>ガス管</t>
    <rPh sb="2" eb="3">
      <t>カン</t>
    </rPh>
    <phoneticPr fontId="1"/>
  </si>
  <si>
    <t>温度</t>
    <rPh sb="0" eb="2">
      <t>オンド</t>
    </rPh>
    <phoneticPr fontId="1"/>
  </si>
  <si>
    <t>管温度</t>
    <rPh sb="0" eb="1">
      <t>カン</t>
    </rPh>
    <rPh sb="1" eb="3">
      <t>オンド</t>
    </rPh>
    <phoneticPr fontId="1"/>
  </si>
  <si>
    <t>冷媒</t>
    <rPh sb="0" eb="2">
      <t>レイバイ</t>
    </rPh>
    <phoneticPr fontId="1"/>
  </si>
  <si>
    <t>品番</t>
  </si>
  <si>
    <t>管の呼称</t>
  </si>
  <si>
    <t>外径</t>
  </si>
  <si>
    <t>内径</t>
  </si>
  <si>
    <t>厚さ</t>
  </si>
  <si>
    <t>内径断面積</t>
  </si>
  <si>
    <t>(   )はｲﾝﾁｻｲｽﾞ</t>
  </si>
  <si>
    <t>（mm）</t>
  </si>
  <si>
    <t>（m2）</t>
  </si>
  <si>
    <t>9.5　( 3/8 )</t>
  </si>
  <si>
    <t>12.7　( 1/2 )※</t>
  </si>
  <si>
    <t>15.9　( 5/8 )※</t>
  </si>
  <si>
    <t>19.1　( 3/4 )※</t>
  </si>
  <si>
    <t>22.2　( 7/8 )※</t>
  </si>
  <si>
    <t>25.4　( 1 )※</t>
  </si>
  <si>
    <t>( 1 1/8 )※</t>
  </si>
  <si>
    <t>31.8　( 1 1/4 )※</t>
  </si>
  <si>
    <t>( 1 3/8 )※</t>
  </si>
  <si>
    <t>38.1　( 1 1/2 )※</t>
  </si>
  <si>
    <t>( 1 5/8 )※</t>
  </si>
  <si>
    <t>44.5　( 1 3/4 )※</t>
  </si>
  <si>
    <t>50.8　( 2 )※</t>
  </si>
  <si>
    <t>( 2 1/8 )※</t>
  </si>
  <si>
    <t>63.5　( 2 1/2 )</t>
  </si>
  <si>
    <t>76.2　( 3 )</t>
  </si>
  <si>
    <t>79.38　( 3 1/8 )</t>
    <phoneticPr fontId="1"/>
  </si>
  <si>
    <t>6.4　( 1/4 )</t>
    <phoneticPr fontId="1"/>
  </si>
  <si>
    <t>蒸気圧</t>
    <rPh sb="0" eb="3">
      <t>ジョウキアツ</t>
    </rPh>
    <phoneticPr fontId="1"/>
  </si>
  <si>
    <t>比体積</t>
    <rPh sb="0" eb="1">
      <t>ヒ</t>
    </rPh>
    <rPh sb="1" eb="3">
      <t>タイセキ</t>
    </rPh>
    <phoneticPr fontId="1"/>
  </si>
  <si>
    <t>比エンタルピー</t>
    <rPh sb="0" eb="1">
      <t>ヒ</t>
    </rPh>
    <phoneticPr fontId="1"/>
  </si>
  <si>
    <t>比エントロピー</t>
    <rPh sb="0" eb="1">
      <t>ヒ</t>
    </rPh>
    <phoneticPr fontId="1"/>
  </si>
  <si>
    <t>No</t>
    <phoneticPr fontId="1"/>
  </si>
  <si>
    <t>液熱伝導率</t>
    <rPh sb="0" eb="1">
      <t>エキ</t>
    </rPh>
    <rPh sb="1" eb="5">
      <t>ネツデンドウリツ</t>
    </rPh>
    <phoneticPr fontId="1"/>
  </si>
  <si>
    <t>蒸気熱伝導率</t>
    <rPh sb="0" eb="2">
      <t>ジョウキ</t>
    </rPh>
    <rPh sb="2" eb="6">
      <t>ネツデンドウリツ</t>
    </rPh>
    <phoneticPr fontId="1"/>
  </si>
  <si>
    <t>液粘性係数</t>
    <rPh sb="0" eb="1">
      <t>エキ</t>
    </rPh>
    <rPh sb="1" eb="5">
      <t>ネンセイケイスウ</t>
    </rPh>
    <phoneticPr fontId="1"/>
  </si>
  <si>
    <t>蒸気粘性係数</t>
    <rPh sb="0" eb="2">
      <t>ジョウキ</t>
    </rPh>
    <rPh sb="2" eb="6">
      <t>ネンセイケイスウ</t>
    </rPh>
    <phoneticPr fontId="1"/>
  </si>
  <si>
    <t>（℃）</t>
    <phoneticPr fontId="1"/>
  </si>
  <si>
    <t>(MPa)</t>
    <phoneticPr fontId="1"/>
  </si>
  <si>
    <t>（m³/kg)</t>
    <phoneticPr fontId="1"/>
  </si>
  <si>
    <t>(kj/kg)</t>
    <phoneticPr fontId="1"/>
  </si>
  <si>
    <t>(kj/kgK)</t>
    <phoneticPr fontId="1"/>
  </si>
  <si>
    <t>R404A</t>
    <phoneticPr fontId="1"/>
  </si>
  <si>
    <t>液</t>
    <rPh sb="0" eb="1">
      <t>エキ</t>
    </rPh>
    <phoneticPr fontId="1"/>
  </si>
  <si>
    <t>蒸気</t>
    <rPh sb="0" eb="2">
      <t>ジョウキ</t>
    </rPh>
    <phoneticPr fontId="1"/>
  </si>
  <si>
    <t>R410A</t>
    <phoneticPr fontId="1"/>
  </si>
  <si>
    <t>R448A</t>
    <phoneticPr fontId="1"/>
  </si>
  <si>
    <t>R463A-J</t>
    <phoneticPr fontId="1"/>
  </si>
  <si>
    <t>CO2</t>
    <phoneticPr fontId="1"/>
  </si>
  <si>
    <t>R717</t>
    <phoneticPr fontId="1"/>
  </si>
  <si>
    <t>R404</t>
    <phoneticPr fontId="1"/>
  </si>
  <si>
    <t>R410</t>
    <phoneticPr fontId="1"/>
  </si>
  <si>
    <t>R448</t>
    <phoneticPr fontId="1"/>
  </si>
  <si>
    <t>比容積</t>
    <rPh sb="0" eb="3">
      <t>ヒヨウセキ</t>
    </rPh>
    <phoneticPr fontId="1"/>
  </si>
  <si>
    <t>比体積</t>
    <rPh sb="0" eb="3">
      <t>ヒタイセキ</t>
    </rPh>
    <phoneticPr fontId="1"/>
  </si>
  <si>
    <t>(kg/ｍ³)</t>
    <phoneticPr fontId="1"/>
  </si>
  <si>
    <t>[℃]</t>
    <phoneticPr fontId="1"/>
  </si>
  <si>
    <t>[MPa]</t>
    <phoneticPr fontId="1"/>
  </si>
  <si>
    <t>[㎥/kg]</t>
    <phoneticPr fontId="1"/>
  </si>
  <si>
    <t>[kJ/kg]</t>
    <phoneticPr fontId="1"/>
  </si>
  <si>
    <t>[kJ/kg･K]</t>
    <phoneticPr fontId="1"/>
  </si>
  <si>
    <t>1..8566</t>
    <phoneticPr fontId="1"/>
  </si>
  <si>
    <t>CO2</t>
  </si>
  <si>
    <t>ET</t>
    <phoneticPr fontId="1"/>
  </si>
  <si>
    <t>受液器
液温</t>
    <rPh sb="0" eb="3">
      <t>ジュエキキ</t>
    </rPh>
    <rPh sb="4" eb="6">
      <t>エキオン</t>
    </rPh>
    <phoneticPr fontId="1"/>
  </si>
  <si>
    <r>
      <t>受液器
充填量</t>
    </r>
    <r>
      <rPr>
        <vertAlign val="superscript"/>
        <sz val="9"/>
        <color theme="1"/>
        <rFont val="游ゴシック"/>
        <family val="3"/>
        <charset val="128"/>
        <scheme val="minor"/>
      </rPr>
      <t>※</t>
    </r>
    <rPh sb="0" eb="3">
      <t>ジュエキキ</t>
    </rPh>
    <rPh sb="4" eb="7">
      <t>ジュウテンリョウ</t>
    </rPh>
    <phoneticPr fontId="1"/>
  </si>
  <si>
    <r>
      <t>冷却器
充填量</t>
    </r>
    <r>
      <rPr>
        <vertAlign val="superscript"/>
        <sz val="9"/>
        <color theme="1"/>
        <rFont val="游ゴシック"/>
        <family val="3"/>
        <charset val="128"/>
        <scheme val="minor"/>
      </rPr>
      <t>※</t>
    </r>
    <rPh sb="0" eb="3">
      <t>レイキャクキ</t>
    </rPh>
    <rPh sb="4" eb="7">
      <t>ジュウテンリョウ</t>
    </rPh>
    <phoneticPr fontId="1"/>
  </si>
  <si>
    <t>充填量</t>
    <rPh sb="0" eb="2">
      <t>ジュウテン</t>
    </rPh>
    <rPh sb="2" eb="3">
      <t>リョウ</t>
    </rPh>
    <phoneticPr fontId="1"/>
  </si>
  <si>
    <t>マキシス</t>
    <phoneticPr fontId="1"/>
  </si>
  <si>
    <t>OCU-CR3000MVF</t>
    <phoneticPr fontId="1"/>
  </si>
  <si>
    <t>OCU-CR200VF</t>
    <phoneticPr fontId="1"/>
  </si>
  <si>
    <t>CC-V3000EVN×2</t>
    <phoneticPr fontId="1"/>
  </si>
  <si>
    <t>CC-D24000EVN×2</t>
    <phoneticPr fontId="1"/>
  </si>
  <si>
    <t>CC-D19000EVN×4</t>
    <phoneticPr fontId="1"/>
  </si>
  <si>
    <t>OCU-CR1001VTS</t>
    <phoneticPr fontId="1"/>
  </si>
  <si>
    <t>マキシス CC-1B</t>
    <phoneticPr fontId="1"/>
  </si>
  <si>
    <t>マキシス CC-1A</t>
    <phoneticPr fontId="1"/>
  </si>
  <si>
    <t>マキシス CC-2A</t>
    <phoneticPr fontId="1"/>
  </si>
  <si>
    <t>マキシス CC-2B</t>
    <phoneticPr fontId="1"/>
  </si>
  <si>
    <t>マキシス CC-5</t>
    <phoneticPr fontId="1"/>
  </si>
  <si>
    <t>マキシス CC-6</t>
    <phoneticPr fontId="1"/>
  </si>
  <si>
    <t>冷媒総量</t>
    <rPh sb="0" eb="2">
      <t>レイバイ</t>
    </rPh>
    <rPh sb="2" eb="4">
      <t>ソウリョウ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</si>
</sst>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76" formatCode="0_ "/>
    <numFmt numFmtId="177" formatCode="0.0_ "/>
    <numFmt numFmtId="178" formatCode="0.0000_ "/>
    <numFmt numFmtId="179" formatCode="0.00_ "/>
    <numFmt numFmtId="180" formatCode="0.000000_ "/>
    <numFmt numFmtId="184" formatCode="&quot;&quot;\φ0.00"/>
    <numFmt numFmtId="185" formatCode="0&quot;L&quot;"/>
    <numFmt numFmtId="186" formatCode="0&quot;℃&quot;"/>
    <numFmt numFmtId="187" formatCode="0&quot;m&quot;"/>
    <numFmt numFmtId="188" formatCode="0.0&quot;mW/m･K&quot;"/>
    <numFmt numFmtId="189" formatCode="0.0&quot;μPa･s&quot;"/>
    <numFmt numFmtId="190" formatCode="0.00000000"/>
    <numFmt numFmtId="191" formatCode="0.00000"/>
    <numFmt numFmtId="192" formatCode="0.0"/>
    <numFmt numFmtId="193" formatCode="0.0000"/>
    <numFmt numFmtId="194" formatCode="0.0000000"/>
    <numFmt numFmtId="206" formatCode="0.00&quot;kg&quot;"/>
    <numFmt numFmtId="207" formatCode="0.000E+00"/>
    <numFmt numFmtId="208" formatCode="0.0&quot;L&quot;"/>
    <numFmt numFmtId="212" formatCode="0.00&quot;L&quot;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"/>
    </font>
    <font>
      <vertAlign val="superscript"/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8" fontId="4" fillId="0" borderId="10" xfId="0" applyNumberFormat="1" applyFont="1" applyBorder="1">
      <alignment vertical="center"/>
    </xf>
    <xf numFmtId="189" fontId="4" fillId="0" borderId="10" xfId="0" applyNumberFormat="1" applyFont="1" applyBorder="1">
      <alignment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88" fontId="4" fillId="0" borderId="11" xfId="0" applyNumberFormat="1" applyFont="1" applyBorder="1">
      <alignment vertical="center"/>
    </xf>
    <xf numFmtId="189" fontId="4" fillId="0" borderId="11" xfId="0" applyNumberFormat="1" applyFont="1" applyBorder="1">
      <alignment vertical="center"/>
    </xf>
    <xf numFmtId="0" fontId="4" fillId="0" borderId="31" xfId="0" applyFont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88" fontId="4" fillId="0" borderId="12" xfId="0" applyNumberFormat="1" applyFont="1" applyBorder="1">
      <alignment vertical="center"/>
    </xf>
    <xf numFmtId="189" fontId="4" fillId="0" borderId="12" xfId="0" applyNumberFormat="1" applyFont="1" applyBorder="1">
      <alignment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5" fillId="0" borderId="31" xfId="0" applyFont="1" applyBorder="1">
      <alignment vertical="center"/>
    </xf>
    <xf numFmtId="0" fontId="5" fillId="0" borderId="32" xfId="0" applyFont="1" applyBorder="1">
      <alignment vertical="center"/>
    </xf>
    <xf numFmtId="0" fontId="5" fillId="0" borderId="33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13" xfId="0" applyFont="1" applyBorder="1">
      <alignment vertical="center"/>
    </xf>
    <xf numFmtId="0" fontId="5" fillId="0" borderId="34" xfId="0" applyFont="1" applyBorder="1">
      <alignment vertical="center"/>
    </xf>
    <xf numFmtId="190" fontId="5" fillId="0" borderId="7" xfId="0" applyNumberFormat="1" applyFont="1" applyBorder="1">
      <alignment vertical="center"/>
    </xf>
    <xf numFmtId="0" fontId="5" fillId="0" borderId="6" xfId="0" applyFont="1" applyBorder="1">
      <alignment vertical="center"/>
    </xf>
    <xf numFmtId="0" fontId="5" fillId="0" borderId="16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8" xfId="0" applyFont="1" applyBorder="1">
      <alignment vertical="center"/>
    </xf>
    <xf numFmtId="191" fontId="5" fillId="0" borderId="34" xfId="0" applyNumberFormat="1" applyFont="1" applyBorder="1">
      <alignment vertical="center"/>
    </xf>
    <xf numFmtId="191" fontId="5" fillId="0" borderId="18" xfId="0" applyNumberFormat="1" applyFont="1" applyBorder="1">
      <alignment vertical="center"/>
    </xf>
    <xf numFmtId="0" fontId="5" fillId="0" borderId="15" xfId="0" applyFont="1" applyBorder="1">
      <alignment vertical="center"/>
    </xf>
    <xf numFmtId="0" fontId="5" fillId="0" borderId="36" xfId="0" applyFont="1" applyBorder="1">
      <alignment vertical="center"/>
    </xf>
    <xf numFmtId="0" fontId="5" fillId="0" borderId="49" xfId="0" applyFont="1" applyBorder="1">
      <alignment vertical="center"/>
    </xf>
    <xf numFmtId="0" fontId="5" fillId="0" borderId="50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right" vertical="center"/>
    </xf>
    <xf numFmtId="0" fontId="5" fillId="0" borderId="51" xfId="0" applyFont="1" applyBorder="1" applyAlignment="1">
      <alignment horizontal="right" vertical="center"/>
    </xf>
    <xf numFmtId="0" fontId="5" fillId="0" borderId="5" xfId="0" applyFont="1" applyBorder="1" applyAlignment="1">
      <alignment horizontal="right" vertical="center"/>
    </xf>
    <xf numFmtId="0" fontId="5" fillId="3" borderId="31" xfId="0" applyFont="1" applyFill="1" applyBorder="1">
      <alignment vertical="center"/>
    </xf>
    <xf numFmtId="0" fontId="5" fillId="3" borderId="34" xfId="0" applyFont="1" applyFill="1" applyBorder="1">
      <alignment vertical="center"/>
    </xf>
    <xf numFmtId="0" fontId="5" fillId="3" borderId="7" xfId="0" applyFont="1" applyFill="1" applyBorder="1">
      <alignment vertical="center"/>
    </xf>
    <xf numFmtId="0" fontId="5" fillId="3" borderId="35" xfId="0" applyFont="1" applyFill="1" applyBorder="1">
      <alignment vertical="center"/>
    </xf>
    <xf numFmtId="0" fontId="5" fillId="3" borderId="36" xfId="0" applyFont="1" applyFill="1" applyBorder="1">
      <alignment vertical="center"/>
    </xf>
    <xf numFmtId="191" fontId="5" fillId="0" borderId="36" xfId="0" applyNumberFormat="1" applyFont="1" applyBorder="1">
      <alignment vertical="center"/>
    </xf>
    <xf numFmtId="191" fontId="5" fillId="2" borderId="34" xfId="0" applyNumberFormat="1" applyFont="1" applyFill="1" applyBorder="1">
      <alignment vertical="center"/>
    </xf>
    <xf numFmtId="0" fontId="5" fillId="0" borderId="36" xfId="0" applyFont="1" applyBorder="1" applyAlignment="1">
      <alignment horizontal="center" vertical="center"/>
    </xf>
    <xf numFmtId="191" fontId="5" fillId="2" borderId="36" xfId="0" applyNumberFormat="1" applyFont="1" applyFill="1" applyBorder="1">
      <alignment vertical="center"/>
    </xf>
    <xf numFmtId="2" fontId="5" fillId="2" borderId="34" xfId="0" applyNumberFormat="1" applyFont="1" applyFill="1" applyBorder="1">
      <alignment vertical="center"/>
    </xf>
    <xf numFmtId="192" fontId="5" fillId="2" borderId="36" xfId="0" applyNumberFormat="1" applyFont="1" applyFill="1" applyBorder="1">
      <alignment vertical="center"/>
    </xf>
    <xf numFmtId="190" fontId="5" fillId="0" borderId="15" xfId="0" applyNumberFormat="1" applyFont="1" applyBorder="1">
      <alignment vertical="center"/>
    </xf>
    <xf numFmtId="0" fontId="5" fillId="0" borderId="14" xfId="0" applyFont="1" applyBorder="1">
      <alignment vertical="center"/>
    </xf>
    <xf numFmtId="191" fontId="5" fillId="2" borderId="15" xfId="0" applyNumberFormat="1" applyFont="1" applyFill="1" applyBorder="1">
      <alignment vertical="center"/>
    </xf>
    <xf numFmtId="0" fontId="5" fillId="3" borderId="49" xfId="0" applyFont="1" applyFill="1" applyBorder="1">
      <alignment vertical="center"/>
    </xf>
    <xf numFmtId="193" fontId="5" fillId="0" borderId="34" xfId="0" applyNumberFormat="1" applyFont="1" applyBorder="1">
      <alignment vertical="center"/>
    </xf>
    <xf numFmtId="191" fontId="5" fillId="0" borderId="52" xfId="0" applyNumberFormat="1" applyFont="1" applyBorder="1">
      <alignment vertical="center"/>
    </xf>
    <xf numFmtId="191" fontId="5" fillId="0" borderId="53" xfId="0" applyNumberFormat="1" applyFont="1" applyBorder="1">
      <alignment vertical="center"/>
    </xf>
    <xf numFmtId="0" fontId="5" fillId="0" borderId="4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52" xfId="0" applyFont="1" applyBorder="1">
      <alignment vertical="center"/>
    </xf>
    <xf numFmtId="0" fontId="5" fillId="0" borderId="53" xfId="0" applyFont="1" applyBorder="1">
      <alignment vertical="center"/>
    </xf>
    <xf numFmtId="191" fontId="5" fillId="2" borderId="53" xfId="0" applyNumberFormat="1" applyFont="1" applyFill="1" applyBorder="1">
      <alignment vertical="center"/>
    </xf>
    <xf numFmtId="0" fontId="5" fillId="0" borderId="21" xfId="0" applyFont="1" applyBorder="1">
      <alignment vertical="center"/>
    </xf>
    <xf numFmtId="191" fontId="5" fillId="0" borderId="22" xfId="0" applyNumberFormat="1" applyFont="1" applyBorder="1">
      <alignment vertical="center"/>
    </xf>
    <xf numFmtId="191" fontId="5" fillId="0" borderId="23" xfId="0" applyNumberFormat="1" applyFont="1" applyBorder="1">
      <alignment vertical="center"/>
    </xf>
    <xf numFmtId="0" fontId="5" fillId="0" borderId="24" xfId="0" applyFont="1" applyBorder="1">
      <alignment vertical="center"/>
    </xf>
    <xf numFmtId="0" fontId="5" fillId="0" borderId="25" xfId="0" applyFont="1" applyBorder="1">
      <alignment vertical="center"/>
    </xf>
    <xf numFmtId="0" fontId="5" fillId="0" borderId="22" xfId="0" applyFont="1" applyBorder="1">
      <alignment vertical="center"/>
    </xf>
    <xf numFmtId="0" fontId="5" fillId="0" borderId="23" xfId="0" applyFont="1" applyBorder="1">
      <alignment vertical="center"/>
    </xf>
    <xf numFmtId="0" fontId="5" fillId="0" borderId="3" xfId="0" applyFont="1" applyBorder="1">
      <alignment vertical="center"/>
    </xf>
    <xf numFmtId="0" fontId="5" fillId="2" borderId="36" xfId="0" applyFont="1" applyFill="1" applyBorder="1">
      <alignment vertical="center"/>
    </xf>
    <xf numFmtId="0" fontId="5" fillId="0" borderId="5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50" xfId="0" applyFont="1" applyBorder="1">
      <alignment vertical="center"/>
    </xf>
    <xf numFmtId="0" fontId="5" fillId="0" borderId="55" xfId="0" applyFont="1" applyBorder="1">
      <alignment vertical="center"/>
    </xf>
    <xf numFmtId="0" fontId="5" fillId="0" borderId="51" xfId="0" applyFont="1" applyBorder="1">
      <alignment vertical="center"/>
    </xf>
    <xf numFmtId="194" fontId="5" fillId="0" borderId="15" xfId="0" applyNumberFormat="1" applyFont="1" applyBorder="1">
      <alignment vertical="center"/>
    </xf>
    <xf numFmtId="194" fontId="5" fillId="0" borderId="13" xfId="0" applyNumberFormat="1" applyFont="1" applyBorder="1">
      <alignment vertical="center"/>
    </xf>
    <xf numFmtId="194" fontId="5" fillId="0" borderId="4" xfId="0" applyNumberFormat="1" applyFont="1" applyBorder="1">
      <alignment vertical="center"/>
    </xf>
    <xf numFmtId="194" fontId="5" fillId="0" borderId="25" xfId="0" applyNumberFormat="1" applyFont="1" applyBorder="1">
      <alignment vertical="center"/>
    </xf>
    <xf numFmtId="194" fontId="5" fillId="0" borderId="24" xfId="0" applyNumberFormat="1" applyFont="1" applyBorder="1">
      <alignment vertical="center"/>
    </xf>
    <xf numFmtId="0" fontId="8" fillId="0" borderId="0" xfId="0" applyFont="1">
      <alignment vertical="center"/>
    </xf>
    <xf numFmtId="184" fontId="8" fillId="2" borderId="9" xfId="0" applyNumberFormat="1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207" fontId="0" fillId="0" borderId="1" xfId="0" applyNumberFormat="1" applyFill="1" applyBorder="1" applyAlignment="1">
      <alignment horizontal="center" vertical="center"/>
    </xf>
    <xf numFmtId="184" fontId="8" fillId="0" borderId="0" xfId="0" applyNumberFormat="1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8" fillId="2" borderId="56" xfId="0" applyFont="1" applyFill="1" applyBorder="1" applyAlignment="1">
      <alignment horizontal="center" vertical="center"/>
    </xf>
    <xf numFmtId="0" fontId="8" fillId="2" borderId="57" xfId="0" applyFont="1" applyFill="1" applyBorder="1" applyAlignment="1">
      <alignment horizontal="center" vertical="center"/>
    </xf>
    <xf numFmtId="0" fontId="8" fillId="2" borderId="57" xfId="0" applyFont="1" applyFill="1" applyBorder="1" applyAlignment="1">
      <alignment horizontal="center" vertical="center" wrapText="1"/>
    </xf>
    <xf numFmtId="0" fontId="8" fillId="2" borderId="58" xfId="0" applyFont="1" applyFill="1" applyBorder="1" applyAlignment="1">
      <alignment horizontal="center" vertical="center" wrapText="1"/>
    </xf>
    <xf numFmtId="0" fontId="8" fillId="2" borderId="59" xfId="0" applyFont="1" applyFill="1" applyBorder="1" applyAlignment="1">
      <alignment horizontal="center" vertical="center"/>
    </xf>
    <xf numFmtId="0" fontId="8" fillId="2" borderId="60" xfId="0" applyFont="1" applyFill="1" applyBorder="1" applyAlignment="1">
      <alignment horizontal="center" vertical="center"/>
    </xf>
    <xf numFmtId="0" fontId="8" fillId="2" borderId="60" xfId="0" applyFont="1" applyFill="1" applyBorder="1" applyAlignment="1">
      <alignment horizontal="center" vertical="center" wrapText="1"/>
    </xf>
    <xf numFmtId="0" fontId="8" fillId="2" borderId="61" xfId="0" applyFont="1" applyFill="1" applyBorder="1" applyAlignment="1">
      <alignment horizontal="center" vertical="center" wrapText="1"/>
    </xf>
    <xf numFmtId="0" fontId="8" fillId="2" borderId="71" xfId="0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horizontal="center" vertical="center"/>
    </xf>
    <xf numFmtId="0" fontId="8" fillId="2" borderId="73" xfId="0" applyFont="1" applyFill="1" applyBorder="1" applyAlignment="1">
      <alignment horizontal="center" vertical="center"/>
    </xf>
    <xf numFmtId="184" fontId="8" fillId="2" borderId="60" xfId="0" applyNumberFormat="1" applyFont="1" applyFill="1" applyBorder="1" applyAlignment="1">
      <alignment horizontal="center" vertical="center"/>
    </xf>
    <xf numFmtId="184" fontId="8" fillId="2" borderId="74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84" fontId="8" fillId="2" borderId="77" xfId="0" applyNumberFormat="1" applyFont="1" applyFill="1" applyBorder="1" applyAlignment="1">
      <alignment horizontal="center" vertical="center"/>
    </xf>
    <xf numFmtId="184" fontId="8" fillId="2" borderId="71" xfId="0" applyNumberFormat="1" applyFont="1" applyFill="1" applyBorder="1" applyAlignment="1">
      <alignment horizontal="center" vertical="center"/>
    </xf>
    <xf numFmtId="184" fontId="8" fillId="2" borderId="72" xfId="0" applyNumberFormat="1" applyFont="1" applyFill="1" applyBorder="1" applyAlignment="1">
      <alignment horizontal="center" vertical="center"/>
    </xf>
    <xf numFmtId="184" fontId="8" fillId="2" borderId="73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15" xfId="0" applyFont="1" applyBorder="1">
      <alignment vertical="center"/>
    </xf>
    <xf numFmtId="0" fontId="8" fillId="2" borderId="1" xfId="0" applyFont="1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71" xfId="0" applyFont="1" applyBorder="1">
      <alignment vertical="center"/>
    </xf>
    <xf numFmtId="208" fontId="8" fillId="0" borderId="72" xfId="0" applyNumberFormat="1" applyFont="1" applyBorder="1" applyAlignment="1">
      <alignment horizontal="center" vertical="center"/>
    </xf>
    <xf numFmtId="186" fontId="8" fillId="0" borderId="72" xfId="0" applyNumberFormat="1" applyFont="1" applyBorder="1" applyAlignment="1">
      <alignment horizontal="center" vertical="center"/>
    </xf>
    <xf numFmtId="186" fontId="8" fillId="0" borderId="1" xfId="0" applyNumberFormat="1" applyFont="1" applyBorder="1" applyAlignment="1">
      <alignment horizontal="center" vertical="center"/>
    </xf>
    <xf numFmtId="187" fontId="8" fillId="0" borderId="90" xfId="0" applyNumberFormat="1" applyFont="1" applyBorder="1" applyAlignment="1">
      <alignment horizontal="center" vertical="center"/>
    </xf>
    <xf numFmtId="187" fontId="8" fillId="0" borderId="72" xfId="0" applyNumberFormat="1" applyFont="1" applyBorder="1" applyAlignment="1">
      <alignment horizontal="center" vertical="center"/>
    </xf>
    <xf numFmtId="187" fontId="8" fillId="0" borderId="91" xfId="0" applyNumberFormat="1" applyFont="1" applyBorder="1" applyAlignment="1">
      <alignment horizontal="center" vertical="center"/>
    </xf>
    <xf numFmtId="206" fontId="7" fillId="0" borderId="1" xfId="0" applyNumberFormat="1" applyFont="1" applyBorder="1" applyAlignment="1">
      <alignment horizontal="center" vertical="center"/>
    </xf>
    <xf numFmtId="187" fontId="8" fillId="0" borderId="71" xfId="0" applyNumberFormat="1" applyFont="1" applyBorder="1" applyAlignment="1">
      <alignment horizontal="center" vertical="center"/>
    </xf>
    <xf numFmtId="187" fontId="8" fillId="0" borderId="73" xfId="0" applyNumberFormat="1" applyFont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67" xfId="0" applyFont="1" applyFill="1" applyBorder="1">
      <alignment vertical="center"/>
    </xf>
    <xf numFmtId="185" fontId="8" fillId="2" borderId="68" xfId="0" applyNumberFormat="1" applyFont="1" applyFill="1" applyBorder="1" applyAlignment="1">
      <alignment horizontal="center" vertical="center"/>
    </xf>
    <xf numFmtId="186" fontId="8" fillId="2" borderId="68" xfId="0" applyNumberFormat="1" applyFont="1" applyFill="1" applyBorder="1" applyAlignment="1">
      <alignment horizontal="center" vertical="center"/>
    </xf>
    <xf numFmtId="186" fontId="8" fillId="2" borderId="12" xfId="0" applyNumberFormat="1" applyFont="1" applyFill="1" applyBorder="1" applyAlignment="1">
      <alignment horizontal="center" vertical="center"/>
    </xf>
    <xf numFmtId="187" fontId="8" fillId="2" borderId="76" xfId="0" applyNumberFormat="1" applyFont="1" applyFill="1" applyBorder="1" applyAlignment="1">
      <alignment horizontal="center" vertical="center"/>
    </xf>
    <xf numFmtId="187" fontId="8" fillId="2" borderId="68" xfId="0" applyNumberFormat="1" applyFont="1" applyFill="1" applyBorder="1" applyAlignment="1">
      <alignment horizontal="center" vertical="center"/>
    </xf>
    <xf numFmtId="187" fontId="8" fillId="2" borderId="79" xfId="0" applyNumberFormat="1" applyFont="1" applyFill="1" applyBorder="1" applyAlignment="1">
      <alignment horizontal="center" vertical="center"/>
    </xf>
    <xf numFmtId="206" fontId="7" fillId="2" borderId="12" xfId="0" applyNumberFormat="1" applyFont="1" applyFill="1" applyBorder="1" applyAlignment="1">
      <alignment horizontal="center" vertical="center"/>
    </xf>
    <xf numFmtId="187" fontId="8" fillId="2" borderId="67" xfId="0" applyNumberFormat="1" applyFont="1" applyFill="1" applyBorder="1" applyAlignment="1">
      <alignment horizontal="center" vertical="center"/>
    </xf>
    <xf numFmtId="187" fontId="8" fillId="2" borderId="69" xfId="0" applyNumberFormat="1" applyFont="1" applyFill="1" applyBorder="1" applyAlignment="1">
      <alignment horizontal="center" vertical="center"/>
    </xf>
    <xf numFmtId="0" fontId="8" fillId="2" borderId="56" xfId="0" applyFont="1" applyFill="1" applyBorder="1">
      <alignment vertical="center"/>
    </xf>
    <xf numFmtId="185" fontId="8" fillId="2" borderId="57" xfId="0" applyNumberFormat="1" applyFont="1" applyFill="1" applyBorder="1" applyAlignment="1">
      <alignment horizontal="center" vertical="center"/>
    </xf>
    <xf numFmtId="186" fontId="8" fillId="2" borderId="57" xfId="0" applyNumberFormat="1" applyFont="1" applyFill="1" applyBorder="1" applyAlignment="1">
      <alignment horizontal="center" vertical="center"/>
    </xf>
    <xf numFmtId="186" fontId="8" fillId="2" borderId="8" xfId="0" applyNumberFormat="1" applyFont="1" applyFill="1" applyBorder="1" applyAlignment="1">
      <alignment horizontal="center" vertical="center"/>
    </xf>
    <xf numFmtId="187" fontId="8" fillId="2" borderId="88" xfId="0" applyNumberFormat="1" applyFont="1" applyFill="1" applyBorder="1" applyAlignment="1">
      <alignment horizontal="center" vertical="center"/>
    </xf>
    <xf numFmtId="187" fontId="8" fillId="2" borderId="57" xfId="0" applyNumberFormat="1" applyFont="1" applyFill="1" applyBorder="1" applyAlignment="1">
      <alignment horizontal="center" vertical="center"/>
    </xf>
    <xf numFmtId="187" fontId="8" fillId="2" borderId="89" xfId="0" applyNumberFormat="1" applyFont="1" applyFill="1" applyBorder="1" applyAlignment="1">
      <alignment horizontal="center" vertical="center"/>
    </xf>
    <xf numFmtId="206" fontId="7" fillId="2" borderId="8" xfId="0" applyNumberFormat="1" applyFont="1" applyFill="1" applyBorder="1" applyAlignment="1">
      <alignment horizontal="center" vertical="center"/>
    </xf>
    <xf numFmtId="187" fontId="8" fillId="2" borderId="56" xfId="0" applyNumberFormat="1" applyFont="1" applyFill="1" applyBorder="1" applyAlignment="1">
      <alignment horizontal="center" vertical="center"/>
    </xf>
    <xf numFmtId="187" fontId="8" fillId="2" borderId="58" xfId="0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56" xfId="0" applyFont="1" applyFill="1" applyBorder="1">
      <alignment vertical="center"/>
    </xf>
    <xf numFmtId="185" fontId="8" fillId="0" borderId="62" xfId="0" applyNumberFormat="1" applyFont="1" applyFill="1" applyBorder="1" applyAlignment="1">
      <alignment horizontal="center" vertical="center"/>
    </xf>
    <xf numFmtId="186" fontId="8" fillId="0" borderId="62" xfId="0" applyNumberFormat="1" applyFont="1" applyFill="1" applyBorder="1" applyAlignment="1">
      <alignment horizontal="center" vertical="center"/>
    </xf>
    <xf numFmtId="0" fontId="8" fillId="0" borderId="70" xfId="0" applyFont="1" applyFill="1" applyBorder="1">
      <alignment vertical="center"/>
    </xf>
    <xf numFmtId="186" fontId="8" fillId="0" borderId="10" xfId="0" applyNumberFormat="1" applyFont="1" applyFill="1" applyBorder="1" applyAlignment="1">
      <alignment horizontal="center" vertical="center"/>
    </xf>
    <xf numFmtId="187" fontId="8" fillId="0" borderId="86" xfId="0" applyNumberFormat="1" applyFont="1" applyFill="1" applyBorder="1" applyAlignment="1">
      <alignment horizontal="center" vertical="center"/>
    </xf>
    <xf numFmtId="187" fontId="8" fillId="0" borderId="62" xfId="0" applyNumberFormat="1" applyFont="1" applyFill="1" applyBorder="1" applyAlignment="1">
      <alignment horizontal="center" vertical="center"/>
    </xf>
    <xf numFmtId="0" fontId="8" fillId="0" borderId="62" xfId="0" applyFont="1" applyFill="1" applyBorder="1">
      <alignment vertical="center"/>
    </xf>
    <xf numFmtId="187" fontId="8" fillId="0" borderId="87" xfId="0" applyNumberFormat="1" applyFont="1" applyFill="1" applyBorder="1" applyAlignment="1">
      <alignment horizontal="center" vertical="center"/>
    </xf>
    <xf numFmtId="206" fontId="7" fillId="0" borderId="10" xfId="0" applyNumberFormat="1" applyFont="1" applyFill="1" applyBorder="1" applyAlignment="1">
      <alignment horizontal="center" vertical="center"/>
    </xf>
    <xf numFmtId="187" fontId="8" fillId="0" borderId="70" xfId="0" applyNumberFormat="1" applyFont="1" applyFill="1" applyBorder="1" applyAlignment="1">
      <alignment horizontal="center" vertical="center"/>
    </xf>
    <xf numFmtId="187" fontId="8" fillId="0" borderId="63" xfId="0" applyNumberFormat="1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64" xfId="0" applyFont="1" applyFill="1" applyBorder="1">
      <alignment vertical="center"/>
    </xf>
    <xf numFmtId="185" fontId="8" fillId="0" borderId="65" xfId="0" applyNumberFormat="1" applyFont="1" applyFill="1" applyBorder="1" applyAlignment="1">
      <alignment horizontal="center" vertical="center"/>
    </xf>
    <xf numFmtId="186" fontId="8" fillId="0" borderId="65" xfId="0" applyNumberFormat="1" applyFont="1" applyFill="1" applyBorder="1" applyAlignment="1">
      <alignment horizontal="center" vertical="center"/>
    </xf>
    <xf numFmtId="186" fontId="8" fillId="0" borderId="11" xfId="0" applyNumberFormat="1" applyFont="1" applyFill="1" applyBorder="1" applyAlignment="1">
      <alignment horizontal="center" vertical="center"/>
    </xf>
    <xf numFmtId="187" fontId="8" fillId="0" borderId="75" xfId="0" applyNumberFormat="1" applyFont="1" applyFill="1" applyBorder="1" applyAlignment="1">
      <alignment horizontal="center" vertical="center"/>
    </xf>
    <xf numFmtId="187" fontId="8" fillId="0" borderId="65" xfId="0" applyNumberFormat="1" applyFont="1" applyFill="1" applyBorder="1" applyAlignment="1">
      <alignment horizontal="center" vertical="center"/>
    </xf>
    <xf numFmtId="187" fontId="8" fillId="0" borderId="78" xfId="0" applyNumberFormat="1" applyFont="1" applyFill="1" applyBorder="1" applyAlignment="1">
      <alignment horizontal="center" vertical="center"/>
    </xf>
    <xf numFmtId="206" fontId="7" fillId="0" borderId="11" xfId="0" applyNumberFormat="1" applyFont="1" applyFill="1" applyBorder="1" applyAlignment="1">
      <alignment horizontal="center" vertical="center"/>
    </xf>
    <xf numFmtId="187" fontId="8" fillId="0" borderId="64" xfId="0" applyNumberFormat="1" applyFont="1" applyFill="1" applyBorder="1" applyAlignment="1">
      <alignment horizontal="center" vertical="center"/>
    </xf>
    <xf numFmtId="187" fontId="8" fillId="0" borderId="66" xfId="0" applyNumberFormat="1" applyFont="1" applyFill="1" applyBorder="1" applyAlignment="1">
      <alignment horizontal="center" vertical="center"/>
    </xf>
    <xf numFmtId="0" fontId="8" fillId="0" borderId="80" xfId="0" applyFont="1" applyFill="1" applyBorder="1" applyAlignment="1">
      <alignment horizontal="center" vertical="center"/>
    </xf>
    <xf numFmtId="185" fontId="8" fillId="0" borderId="82" xfId="0" applyNumberFormat="1" applyFont="1" applyFill="1" applyBorder="1" applyAlignment="1">
      <alignment horizontal="center" vertical="center"/>
    </xf>
    <xf numFmtId="186" fontId="8" fillId="0" borderId="82" xfId="0" applyNumberFormat="1" applyFont="1" applyFill="1" applyBorder="1" applyAlignment="1">
      <alignment horizontal="center" vertical="center"/>
    </xf>
    <xf numFmtId="0" fontId="8" fillId="0" borderId="81" xfId="0" applyFont="1" applyFill="1" applyBorder="1">
      <alignment vertical="center"/>
    </xf>
    <xf numFmtId="186" fontId="8" fillId="0" borderId="80" xfId="0" applyNumberFormat="1" applyFont="1" applyFill="1" applyBorder="1" applyAlignment="1">
      <alignment horizontal="center" vertical="center"/>
    </xf>
    <xf numFmtId="187" fontId="8" fillId="0" borderId="84" xfId="0" applyNumberFormat="1" applyFont="1" applyFill="1" applyBorder="1" applyAlignment="1">
      <alignment horizontal="center" vertical="center"/>
    </xf>
    <xf numFmtId="187" fontId="8" fillId="0" borderId="82" xfId="0" applyNumberFormat="1" applyFont="1" applyFill="1" applyBorder="1" applyAlignment="1">
      <alignment horizontal="center" vertical="center"/>
    </xf>
    <xf numFmtId="187" fontId="8" fillId="0" borderId="85" xfId="0" applyNumberFormat="1" applyFont="1" applyFill="1" applyBorder="1" applyAlignment="1">
      <alignment horizontal="center" vertical="center"/>
    </xf>
    <xf numFmtId="206" fontId="7" fillId="0" borderId="80" xfId="0" applyNumberFormat="1" applyFont="1" applyFill="1" applyBorder="1" applyAlignment="1">
      <alignment horizontal="center" vertical="center"/>
    </xf>
    <xf numFmtId="187" fontId="8" fillId="0" borderId="81" xfId="0" applyNumberFormat="1" applyFont="1" applyFill="1" applyBorder="1" applyAlignment="1">
      <alignment horizontal="center" vertical="center"/>
    </xf>
    <xf numFmtId="187" fontId="8" fillId="0" borderId="83" xfId="0" applyNumberFormat="1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0" borderId="67" xfId="0" applyFont="1" applyFill="1" applyBorder="1">
      <alignment vertical="center"/>
    </xf>
    <xf numFmtId="185" fontId="8" fillId="0" borderId="68" xfId="0" applyNumberFormat="1" applyFont="1" applyFill="1" applyBorder="1" applyAlignment="1">
      <alignment horizontal="center" vertical="center"/>
    </xf>
    <xf numFmtId="186" fontId="8" fillId="0" borderId="68" xfId="0" applyNumberFormat="1" applyFont="1" applyFill="1" applyBorder="1" applyAlignment="1">
      <alignment horizontal="center" vertical="center"/>
    </xf>
    <xf numFmtId="186" fontId="8" fillId="0" borderId="12" xfId="0" applyNumberFormat="1" applyFont="1" applyFill="1" applyBorder="1" applyAlignment="1">
      <alignment horizontal="center" vertical="center"/>
    </xf>
    <xf numFmtId="187" fontId="8" fillId="0" borderId="76" xfId="0" applyNumberFormat="1" applyFont="1" applyFill="1" applyBorder="1" applyAlignment="1">
      <alignment horizontal="center" vertical="center"/>
    </xf>
    <xf numFmtId="187" fontId="8" fillId="0" borderId="68" xfId="0" applyNumberFormat="1" applyFont="1" applyFill="1" applyBorder="1" applyAlignment="1">
      <alignment horizontal="center" vertical="center"/>
    </xf>
    <xf numFmtId="187" fontId="8" fillId="0" borderId="79" xfId="0" applyNumberFormat="1" applyFont="1" applyFill="1" applyBorder="1" applyAlignment="1">
      <alignment horizontal="center" vertical="center"/>
    </xf>
    <xf numFmtId="206" fontId="7" fillId="0" borderId="12" xfId="0" applyNumberFormat="1" applyFont="1" applyFill="1" applyBorder="1" applyAlignment="1">
      <alignment horizontal="center" vertical="center"/>
    </xf>
    <xf numFmtId="187" fontId="8" fillId="0" borderId="67" xfId="0" applyNumberFormat="1" applyFont="1" applyFill="1" applyBorder="1" applyAlignment="1">
      <alignment horizontal="center" vertical="center"/>
    </xf>
    <xf numFmtId="187" fontId="8" fillId="0" borderId="69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1" xfId="0" applyFont="1" applyFill="1" applyBorder="1">
      <alignment vertical="center"/>
    </xf>
    <xf numFmtId="185" fontId="8" fillId="0" borderId="72" xfId="0" applyNumberFormat="1" applyFont="1" applyFill="1" applyBorder="1" applyAlignment="1">
      <alignment horizontal="center" vertical="center"/>
    </xf>
    <xf numFmtId="186" fontId="8" fillId="0" borderId="72" xfId="0" applyNumberFormat="1" applyFont="1" applyFill="1" applyBorder="1" applyAlignment="1">
      <alignment horizontal="center" vertical="center"/>
    </xf>
    <xf numFmtId="186" fontId="8" fillId="0" borderId="1" xfId="0" applyNumberFormat="1" applyFont="1" applyFill="1" applyBorder="1" applyAlignment="1">
      <alignment horizontal="center" vertical="center"/>
    </xf>
    <xf numFmtId="187" fontId="8" fillId="0" borderId="90" xfId="0" applyNumberFormat="1" applyFont="1" applyFill="1" applyBorder="1" applyAlignment="1">
      <alignment horizontal="center" vertical="center"/>
    </xf>
    <xf numFmtId="187" fontId="8" fillId="0" borderId="72" xfId="0" applyNumberFormat="1" applyFont="1" applyFill="1" applyBorder="1" applyAlignment="1">
      <alignment horizontal="center" vertical="center"/>
    </xf>
    <xf numFmtId="187" fontId="8" fillId="0" borderId="91" xfId="0" applyNumberFormat="1" applyFont="1" applyFill="1" applyBorder="1" applyAlignment="1">
      <alignment horizontal="center" vertical="center"/>
    </xf>
    <xf numFmtId="206" fontId="7" fillId="0" borderId="1" xfId="0" applyNumberFormat="1" applyFont="1" applyFill="1" applyBorder="1" applyAlignment="1">
      <alignment horizontal="center" vertical="center"/>
    </xf>
    <xf numFmtId="187" fontId="8" fillId="0" borderId="71" xfId="0" applyNumberFormat="1" applyFont="1" applyFill="1" applyBorder="1" applyAlignment="1">
      <alignment horizontal="center" vertical="center"/>
    </xf>
    <xf numFmtId="187" fontId="8" fillId="0" borderId="73" xfId="0" applyNumberFormat="1" applyFont="1" applyFill="1" applyBorder="1" applyAlignment="1">
      <alignment horizontal="center" vertical="center"/>
    </xf>
    <xf numFmtId="0" fontId="8" fillId="2" borderId="59" xfId="0" applyFont="1" applyFill="1" applyBorder="1">
      <alignment vertical="center"/>
    </xf>
    <xf numFmtId="212" fontId="8" fillId="2" borderId="60" xfId="0" applyNumberFormat="1" applyFont="1" applyFill="1" applyBorder="1" applyAlignment="1">
      <alignment horizontal="center" vertical="center"/>
    </xf>
    <xf numFmtId="186" fontId="8" fillId="2" borderId="60" xfId="0" applyNumberFormat="1" applyFont="1" applyFill="1" applyBorder="1" applyAlignment="1">
      <alignment horizontal="center" vertical="center"/>
    </xf>
    <xf numFmtId="186" fontId="8" fillId="2" borderId="9" xfId="0" applyNumberFormat="1" applyFont="1" applyFill="1" applyBorder="1" applyAlignment="1">
      <alignment horizontal="center" vertical="center"/>
    </xf>
    <xf numFmtId="187" fontId="8" fillId="2" borderId="74" xfId="0" applyNumberFormat="1" applyFont="1" applyFill="1" applyBorder="1" applyAlignment="1">
      <alignment horizontal="center" vertical="center"/>
    </xf>
    <xf numFmtId="187" fontId="8" fillId="2" borderId="60" xfId="0" applyNumberFormat="1" applyFont="1" applyFill="1" applyBorder="1" applyAlignment="1">
      <alignment horizontal="center" vertical="center"/>
    </xf>
    <xf numFmtId="187" fontId="8" fillId="2" borderId="77" xfId="0" applyNumberFormat="1" applyFont="1" applyFill="1" applyBorder="1" applyAlignment="1">
      <alignment horizontal="center" vertical="center"/>
    </xf>
    <xf numFmtId="206" fontId="7" fillId="2" borderId="9" xfId="0" applyNumberFormat="1" applyFont="1" applyFill="1" applyBorder="1" applyAlignment="1">
      <alignment horizontal="center" vertical="center"/>
    </xf>
    <xf numFmtId="187" fontId="8" fillId="2" borderId="59" xfId="0" applyNumberFormat="1" applyFont="1" applyFill="1" applyBorder="1" applyAlignment="1">
      <alignment horizontal="center" vertical="center"/>
    </xf>
    <xf numFmtId="187" fontId="8" fillId="2" borderId="61" xfId="0" applyNumberFormat="1" applyFont="1" applyFill="1" applyBorder="1" applyAlignment="1">
      <alignment horizontal="center" vertical="center"/>
    </xf>
    <xf numFmtId="206" fontId="5" fillId="0" borderId="10" xfId="0" applyNumberFormat="1" applyFont="1" applyFill="1" applyBorder="1" applyAlignment="1">
      <alignment horizontal="center" vertical="center"/>
    </xf>
    <xf numFmtId="206" fontId="5" fillId="0" borderId="11" xfId="0" applyNumberFormat="1" applyFont="1" applyFill="1" applyBorder="1" applyAlignment="1">
      <alignment horizontal="center" vertical="center"/>
    </xf>
    <xf numFmtId="206" fontId="5" fillId="0" borderId="80" xfId="0" applyNumberFormat="1" applyFont="1" applyFill="1" applyBorder="1" applyAlignment="1">
      <alignment horizontal="center" vertical="center"/>
    </xf>
    <xf numFmtId="206" fontId="5" fillId="0" borderId="12" xfId="0" applyNumberFormat="1" applyFont="1" applyFill="1" applyBorder="1" applyAlignment="1">
      <alignment horizontal="center" vertical="center"/>
    </xf>
    <xf numFmtId="206" fontId="5" fillId="2" borderId="8" xfId="0" applyNumberFormat="1" applyFont="1" applyFill="1" applyBorder="1" applyAlignment="1">
      <alignment horizontal="center" vertical="center"/>
    </xf>
    <xf numFmtId="206" fontId="5" fillId="2" borderId="12" xfId="0" applyNumberFormat="1" applyFont="1" applyFill="1" applyBorder="1" applyAlignment="1">
      <alignment horizontal="center" vertical="center"/>
    </xf>
    <xf numFmtId="206" fontId="5" fillId="0" borderId="1" xfId="0" applyNumberFormat="1" applyFont="1" applyBorder="1" applyAlignment="1">
      <alignment horizontal="center" vertical="center"/>
    </xf>
    <xf numFmtId="206" fontId="5" fillId="0" borderId="1" xfId="0" applyNumberFormat="1" applyFont="1" applyFill="1" applyBorder="1" applyAlignment="1">
      <alignment horizontal="center" vertical="center"/>
    </xf>
    <xf numFmtId="206" fontId="5" fillId="2" borderId="9" xfId="0" applyNumberFormat="1" applyFont="1" applyFill="1" applyBorder="1" applyAlignment="1">
      <alignment horizontal="center" vertical="center"/>
    </xf>
    <xf numFmtId="206" fontId="5" fillId="0" borderId="63" xfId="0" applyNumberFormat="1" applyFont="1" applyFill="1" applyBorder="1" applyAlignment="1">
      <alignment horizontal="center" vertical="center"/>
    </xf>
    <xf numFmtId="206" fontId="5" fillId="0" borderId="66" xfId="0" applyNumberFormat="1" applyFont="1" applyFill="1" applyBorder="1" applyAlignment="1">
      <alignment horizontal="center" vertical="center"/>
    </xf>
    <xf numFmtId="206" fontId="5" fillId="0" borderId="69" xfId="0" applyNumberFormat="1" applyFont="1" applyFill="1" applyBorder="1" applyAlignment="1">
      <alignment horizontal="center" vertical="center"/>
    </xf>
    <xf numFmtId="206" fontId="5" fillId="2" borderId="63" xfId="0" applyNumberFormat="1" applyFont="1" applyFill="1" applyBorder="1" applyAlignment="1">
      <alignment horizontal="center" vertical="center"/>
    </xf>
    <xf numFmtId="206" fontId="5" fillId="2" borderId="69" xfId="0" applyNumberFormat="1" applyFont="1" applyFill="1" applyBorder="1" applyAlignment="1">
      <alignment horizontal="center" vertical="center"/>
    </xf>
    <xf numFmtId="206" fontId="5" fillId="0" borderId="73" xfId="0" applyNumberFormat="1" applyFont="1" applyBorder="1" applyAlignment="1">
      <alignment horizontal="center" vertical="center"/>
    </xf>
    <xf numFmtId="206" fontId="5" fillId="0" borderId="73" xfId="0" applyNumberFormat="1" applyFont="1" applyFill="1" applyBorder="1" applyAlignment="1">
      <alignment horizontal="center" vertical="center"/>
    </xf>
    <xf numFmtId="206" fontId="5" fillId="2" borderId="61" xfId="0" applyNumberFormat="1" applyFont="1" applyFill="1" applyBorder="1" applyAlignment="1">
      <alignment horizontal="center" vertical="center"/>
    </xf>
    <xf numFmtId="206" fontId="5" fillId="0" borderId="83" xfId="0" applyNumberFormat="1" applyFont="1" applyFill="1" applyBorder="1" applyAlignment="1">
      <alignment horizontal="center" vertical="center"/>
    </xf>
    <xf numFmtId="206" fontId="5" fillId="2" borderId="58" xfId="0" applyNumberFormat="1" applyFont="1" applyFill="1" applyBorder="1" applyAlignment="1">
      <alignment horizontal="center" vertical="center"/>
    </xf>
    <xf numFmtId="9" fontId="8" fillId="0" borderId="0" xfId="1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&#12304;&#12503;&#12521;&#12531;&#12488;&#35373;&#35336;&#37096;&#12305;\&#39640;&#27211;\02%20Ref\K&#20516;&#35336;&#31639;&#34920;_&#12463;&#12525;&#12473;&#12501;&#12451;&#12531;.xlsx" TargetMode="External"/><Relationship Id="rId1" Type="http://schemas.openxmlformats.org/officeDocument/2006/relationships/externalLinkPath" Target="/&#12304;&#12503;&#12521;&#12531;&#12488;&#35373;&#35336;&#37096;&#12305;/&#39640;&#27211;/02%20Ref/K&#20516;&#35336;&#31639;&#34920;_&#12463;&#12525;&#12473;&#12501;&#12451;&#1253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値計算"/>
      <sheetName val="熱伝導率"/>
      <sheetName val="参照飽和表"/>
      <sheetName val="飽和表集"/>
    </sheetNames>
    <sheetDataSet>
      <sheetData sheetId="0"/>
      <sheetData sheetId="1" refreshError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F7944-EC45-4BF7-8B64-65A470F36F71}">
  <sheetPr codeName="Sheet1"/>
  <dimension ref="A1:H42"/>
  <sheetViews>
    <sheetView workbookViewId="0">
      <selection activeCell="C7" sqref="C7"/>
    </sheetView>
  </sheetViews>
  <sheetFormatPr defaultColWidth="8.625" defaultRowHeight="18.75" x14ac:dyDescent="0.4"/>
  <cols>
    <col min="1" max="8" width="10.75" customWidth="1"/>
  </cols>
  <sheetData>
    <row r="1" spans="1:4" x14ac:dyDescent="0.4">
      <c r="A1" t="s">
        <v>44</v>
      </c>
    </row>
    <row r="2" spans="1:4" x14ac:dyDescent="0.4">
      <c r="A2" t="s">
        <v>43</v>
      </c>
      <c r="B2" s="7" t="s">
        <v>45</v>
      </c>
      <c r="C2" t="s">
        <v>46</v>
      </c>
    </row>
    <row r="3" spans="1:4" x14ac:dyDescent="0.4">
      <c r="A3" t="s">
        <v>16</v>
      </c>
      <c r="B3" t="s">
        <v>47</v>
      </c>
    </row>
    <row r="5" spans="1:4" x14ac:dyDescent="0.4">
      <c r="A5" t="s">
        <v>29</v>
      </c>
    </row>
    <row r="6" spans="1:4" x14ac:dyDescent="0.4">
      <c r="A6" t="s">
        <v>11</v>
      </c>
      <c r="B6" t="s">
        <v>30</v>
      </c>
    </row>
    <row r="7" spans="1:4" x14ac:dyDescent="0.4">
      <c r="A7" t="s">
        <v>10</v>
      </c>
      <c r="B7">
        <v>12.7</v>
      </c>
      <c r="C7">
        <v>1.4</v>
      </c>
    </row>
    <row r="8" spans="1:4" x14ac:dyDescent="0.4">
      <c r="A8" t="s">
        <v>12</v>
      </c>
      <c r="B8" s="4">
        <f>POWER((B7-C7*2)/2/1000,2)*3.14*16*20*2.4*1.1</f>
        <v>6.4997095679999992E-2</v>
      </c>
      <c r="C8" t="s">
        <v>9</v>
      </c>
      <c r="D8" t="s">
        <v>27</v>
      </c>
    </row>
    <row r="9" spans="1:4" x14ac:dyDescent="0.4">
      <c r="B9" s="4" t="s">
        <v>28</v>
      </c>
    </row>
    <row r="10" spans="1:4" x14ac:dyDescent="0.4">
      <c r="A10" t="s">
        <v>20</v>
      </c>
      <c r="B10" s="4">
        <f>B8*0.3</f>
        <v>1.9499128703999998E-2</v>
      </c>
      <c r="C10" t="s">
        <v>9</v>
      </c>
      <c r="D10" t="s">
        <v>25</v>
      </c>
    </row>
    <row r="11" spans="1:4" x14ac:dyDescent="0.4">
      <c r="A11" t="s">
        <v>19</v>
      </c>
      <c r="B11" s="5">
        <f>B10*1000</f>
        <v>19.499128703999997</v>
      </c>
      <c r="C11" t="s">
        <v>1</v>
      </c>
    </row>
    <row r="12" spans="1:4" x14ac:dyDescent="0.4">
      <c r="A12" t="s">
        <v>14</v>
      </c>
      <c r="B12">
        <v>9.2239999999999998E-4</v>
      </c>
      <c r="C12" t="s">
        <v>3</v>
      </c>
      <c r="D12" s="1" t="s">
        <v>31</v>
      </c>
    </row>
    <row r="13" spans="1:4" x14ac:dyDescent="0.4">
      <c r="A13" t="s">
        <v>21</v>
      </c>
      <c r="B13" s="5">
        <f>B11/B12/1000</f>
        <v>21.139558438855158</v>
      </c>
      <c r="C13" t="s">
        <v>2</v>
      </c>
    </row>
    <row r="14" spans="1:4" x14ac:dyDescent="0.4">
      <c r="A14" t="s">
        <v>13</v>
      </c>
      <c r="B14">
        <v>1</v>
      </c>
      <c r="C14" t="s">
        <v>26</v>
      </c>
    </row>
    <row r="15" spans="1:4" x14ac:dyDescent="0.4">
      <c r="A15" t="s">
        <v>22</v>
      </c>
      <c r="B15" s="5">
        <f>B11*B14</f>
        <v>19.499128703999997</v>
      </c>
      <c r="C15" t="s">
        <v>1</v>
      </c>
      <c r="D15" s="1"/>
    </row>
    <row r="16" spans="1:4" x14ac:dyDescent="0.4">
      <c r="A16" t="s">
        <v>8</v>
      </c>
      <c r="B16" s="2">
        <f>B13*B14</f>
        <v>21.139558438855158</v>
      </c>
      <c r="C16" t="s">
        <v>18</v>
      </c>
      <c r="D16" s="1"/>
    </row>
    <row r="17" spans="1:8" x14ac:dyDescent="0.4">
      <c r="B17" s="5"/>
    </row>
    <row r="18" spans="1:8" x14ac:dyDescent="0.4">
      <c r="A18" t="s">
        <v>39</v>
      </c>
      <c r="E18" t="s">
        <v>40</v>
      </c>
    </row>
    <row r="19" spans="1:8" x14ac:dyDescent="0.4">
      <c r="A19" t="s">
        <v>0</v>
      </c>
      <c r="B19">
        <v>22.22</v>
      </c>
      <c r="C19" s="3">
        <v>1.8</v>
      </c>
      <c r="E19" t="s">
        <v>0</v>
      </c>
      <c r="F19">
        <v>25.4</v>
      </c>
      <c r="G19" s="3">
        <v>2</v>
      </c>
    </row>
    <row r="20" spans="1:8" x14ac:dyDescent="0.4">
      <c r="A20" t="s">
        <v>4</v>
      </c>
      <c r="B20" s="6">
        <f>POWER((B19-C19*2)/2/1000,2)*3.14</f>
        <v>2.7216295399999993E-4</v>
      </c>
      <c r="C20" t="s">
        <v>5</v>
      </c>
      <c r="E20" t="s">
        <v>4</v>
      </c>
      <c r="F20" s="6">
        <f>POWER((F19-G19*2)/2/1000,2)*3.14</f>
        <v>3.5949859999999997E-4</v>
      </c>
      <c r="G20" t="s">
        <v>5</v>
      </c>
    </row>
    <row r="21" spans="1:8" x14ac:dyDescent="0.4">
      <c r="A21" t="s">
        <v>6</v>
      </c>
      <c r="B21">
        <v>30</v>
      </c>
      <c r="C21" t="s">
        <v>7</v>
      </c>
      <c r="E21" t="s">
        <v>6</v>
      </c>
      <c r="F21">
        <v>30</v>
      </c>
      <c r="G21" t="s">
        <v>7</v>
      </c>
    </row>
    <row r="22" spans="1:8" x14ac:dyDescent="0.4">
      <c r="A22" t="s">
        <v>19</v>
      </c>
      <c r="B22" s="5">
        <f>B20*B21*1000</f>
        <v>8.1648886199999975</v>
      </c>
      <c r="C22" t="s">
        <v>1</v>
      </c>
      <c r="D22" t="s">
        <v>42</v>
      </c>
      <c r="E22" t="s">
        <v>19</v>
      </c>
      <c r="F22" s="5">
        <f>F20*F21*1000*0.1</f>
        <v>1.0784958</v>
      </c>
      <c r="G22" t="s">
        <v>1</v>
      </c>
      <c r="H22" t="s">
        <v>32</v>
      </c>
    </row>
    <row r="23" spans="1:8" x14ac:dyDescent="0.4">
      <c r="A23" t="s">
        <v>14</v>
      </c>
      <c r="B23">
        <v>1.2930000000000001E-3</v>
      </c>
      <c r="C23" t="s">
        <v>3</v>
      </c>
      <c r="D23" s="1" t="s">
        <v>33</v>
      </c>
      <c r="E23" t="s">
        <v>41</v>
      </c>
      <c r="F23">
        <v>2.8864999999999998E-2</v>
      </c>
      <c r="G23" t="s">
        <v>3</v>
      </c>
      <c r="H23" s="1" t="s">
        <v>33</v>
      </c>
    </row>
    <row r="24" spans="1:8" x14ac:dyDescent="0.4">
      <c r="A24" t="s">
        <v>13</v>
      </c>
      <c r="B24">
        <v>1</v>
      </c>
      <c r="C24" t="s">
        <v>26</v>
      </c>
      <c r="D24" s="1"/>
      <c r="E24" t="s">
        <v>13</v>
      </c>
      <c r="F24">
        <v>1</v>
      </c>
      <c r="G24" t="s">
        <v>26</v>
      </c>
      <c r="H24" s="1"/>
    </row>
    <row r="25" spans="1:8" x14ac:dyDescent="0.4">
      <c r="A25" t="s">
        <v>22</v>
      </c>
      <c r="B25" s="5">
        <f>B22*B24</f>
        <v>8.1648886199999975</v>
      </c>
      <c r="C25" t="s">
        <v>1</v>
      </c>
      <c r="D25" s="1"/>
      <c r="E25" t="s">
        <v>22</v>
      </c>
      <c r="F25" s="5">
        <f>F22*F24</f>
        <v>1.0784958</v>
      </c>
      <c r="G25" t="s">
        <v>1</v>
      </c>
      <c r="H25" s="1"/>
    </row>
    <row r="26" spans="1:8" x14ac:dyDescent="0.4">
      <c r="A26" t="s">
        <v>8</v>
      </c>
      <c r="B26" s="5">
        <f>B22/B23/1000</f>
        <v>6.3146857076566105</v>
      </c>
      <c r="C26" t="s">
        <v>18</v>
      </c>
      <c r="D26" s="1"/>
      <c r="E26" t="s">
        <v>8</v>
      </c>
      <c r="F26" s="5">
        <f>F22/F23/1000</f>
        <v>3.7363443616837001E-2</v>
      </c>
      <c r="G26" t="s">
        <v>18</v>
      </c>
      <c r="H26" s="1"/>
    </row>
    <row r="27" spans="1:8" x14ac:dyDescent="0.4">
      <c r="B27" s="5"/>
      <c r="D27" s="1"/>
    </row>
    <row r="28" spans="1:8" x14ac:dyDescent="0.4">
      <c r="A28" t="s">
        <v>23</v>
      </c>
      <c r="B28" s="5"/>
      <c r="D28" s="1"/>
    </row>
    <row r="29" spans="1:8" x14ac:dyDescent="0.4">
      <c r="A29" t="s">
        <v>22</v>
      </c>
      <c r="B29" s="2">
        <v>20</v>
      </c>
      <c r="C29" t="s">
        <v>1</v>
      </c>
      <c r="D29" s="1"/>
    </row>
    <row r="30" spans="1:8" x14ac:dyDescent="0.4">
      <c r="A30" t="s">
        <v>15</v>
      </c>
      <c r="B30" s="3">
        <f>B29*0.8</f>
        <v>16</v>
      </c>
      <c r="C30" t="s">
        <v>1</v>
      </c>
      <c r="D30" s="1" t="s">
        <v>17</v>
      </c>
    </row>
    <row r="31" spans="1:8" x14ac:dyDescent="0.4">
      <c r="A31" t="s">
        <v>24</v>
      </c>
      <c r="B31" s="5">
        <f>B29*0.2</f>
        <v>4</v>
      </c>
      <c r="C31" t="s">
        <v>1</v>
      </c>
      <c r="D31" s="1" t="s">
        <v>34</v>
      </c>
    </row>
    <row r="32" spans="1:8" x14ac:dyDescent="0.4">
      <c r="A32" t="s">
        <v>14</v>
      </c>
      <c r="B32">
        <v>1.2930000000000001E-3</v>
      </c>
      <c r="C32" t="s">
        <v>3</v>
      </c>
      <c r="D32" s="1" t="s">
        <v>33</v>
      </c>
    </row>
    <row r="33" spans="1:4" x14ac:dyDescent="0.4">
      <c r="A33" t="s">
        <v>13</v>
      </c>
      <c r="B33">
        <v>1</v>
      </c>
      <c r="C33" t="s">
        <v>26</v>
      </c>
      <c r="D33" s="1"/>
    </row>
    <row r="34" spans="1:4" x14ac:dyDescent="0.4">
      <c r="A34" t="s">
        <v>22</v>
      </c>
      <c r="B34" s="5">
        <f>B31*B33</f>
        <v>4</v>
      </c>
      <c r="C34" t="s">
        <v>1</v>
      </c>
      <c r="D34" s="1"/>
    </row>
    <row r="35" spans="1:4" x14ac:dyDescent="0.4">
      <c r="A35" t="s">
        <v>8</v>
      </c>
      <c r="B35" s="5">
        <f>B31/B32/1000</f>
        <v>3.0935808197989174</v>
      </c>
      <c r="C35" t="s">
        <v>18</v>
      </c>
      <c r="D35" s="1"/>
    </row>
    <row r="36" spans="1:4" x14ac:dyDescent="0.4">
      <c r="B36" s="5"/>
      <c r="D36" s="1"/>
    </row>
    <row r="37" spans="1:4" x14ac:dyDescent="0.4">
      <c r="A37" t="s">
        <v>35</v>
      </c>
      <c r="B37" s="5"/>
      <c r="D37" s="1"/>
    </row>
    <row r="38" spans="1:4" x14ac:dyDescent="0.4">
      <c r="A38" t="s">
        <v>36</v>
      </c>
      <c r="B38" s="5">
        <f>B15+B64+B34+F25</f>
        <v>24.577624503999996</v>
      </c>
      <c r="C38" t="s">
        <v>38</v>
      </c>
      <c r="D38" s="1"/>
    </row>
    <row r="39" spans="1:4" x14ac:dyDescent="0.4">
      <c r="A39" t="s">
        <v>37</v>
      </c>
      <c r="B39" s="5">
        <f>B16+B26+B35+F26</f>
        <v>30.585188409927522</v>
      </c>
      <c r="C39" t="s">
        <v>18</v>
      </c>
      <c r="D39" s="1"/>
    </row>
    <row r="40" spans="1:4" x14ac:dyDescent="0.4">
      <c r="B40" s="5"/>
      <c r="D40" s="1"/>
    </row>
    <row r="41" spans="1:4" x14ac:dyDescent="0.4">
      <c r="B41" s="5"/>
      <c r="D41" s="1"/>
    </row>
    <row r="42" spans="1:4" x14ac:dyDescent="0.4">
      <c r="B42" s="5"/>
      <c r="D42" s="1"/>
    </row>
  </sheetData>
  <phoneticPr fontId="1"/>
  <pageMargins left="0.59055118110236227" right="0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EDB3C-D7EC-4CAF-BCF9-CDCA3F6A9C39}">
  <sheetPr codeName="Sheet2"/>
  <dimension ref="A1:Z16"/>
  <sheetViews>
    <sheetView tabSelected="1" zoomScaleNormal="100" workbookViewId="0">
      <selection activeCell="E13" sqref="E13"/>
    </sheetView>
  </sheetViews>
  <sheetFormatPr defaultRowHeight="15.75" x14ac:dyDescent="0.4"/>
  <cols>
    <col min="1" max="1" width="8.375" style="142" customWidth="1"/>
    <col min="2" max="2" width="20.625" style="142" customWidth="1"/>
    <col min="3" max="4" width="6.625" style="142" customWidth="1"/>
    <col min="5" max="5" width="10.625" style="142" customWidth="1"/>
    <col min="6" max="6" width="20.625" style="142" customWidth="1"/>
    <col min="7" max="7" width="6.625" style="184" customWidth="1"/>
    <col min="8" max="8" width="10.625" style="142" customWidth="1"/>
    <col min="9" max="15" width="6.625" style="142" customWidth="1"/>
    <col min="16" max="16" width="10.625" style="142" customWidth="1"/>
    <col min="17" max="23" width="6.625" style="142" customWidth="1"/>
    <col min="24" max="24" width="10.625" style="142" customWidth="1"/>
    <col min="25" max="16384" width="9" style="142"/>
  </cols>
  <sheetData>
    <row r="1" spans="1:26" x14ac:dyDescent="0.4">
      <c r="A1" s="186" t="s">
        <v>56</v>
      </c>
      <c r="B1" s="185" t="s">
        <v>118</v>
      </c>
      <c r="I1" s="155"/>
    </row>
    <row r="2" spans="1:26" x14ac:dyDescent="0.4">
      <c r="I2" s="155"/>
      <c r="K2" s="144"/>
    </row>
    <row r="3" spans="1:26" x14ac:dyDescent="0.4">
      <c r="A3" s="142" t="s">
        <v>48</v>
      </c>
      <c r="K3" s="145"/>
    </row>
    <row r="4" spans="1:26" ht="15" customHeight="1" x14ac:dyDescent="0.4">
      <c r="A4" s="146" t="s">
        <v>49</v>
      </c>
      <c r="B4" s="166" t="s">
        <v>16</v>
      </c>
      <c r="C4" s="167" t="s">
        <v>51</v>
      </c>
      <c r="D4" s="168" t="s">
        <v>120</v>
      </c>
      <c r="E4" s="169" t="s">
        <v>121</v>
      </c>
      <c r="F4" s="166" t="s">
        <v>50</v>
      </c>
      <c r="G4" s="167" t="s">
        <v>119</v>
      </c>
      <c r="H4" s="169" t="s">
        <v>122</v>
      </c>
      <c r="I4" s="174" t="s">
        <v>52</v>
      </c>
      <c r="J4" s="175"/>
      <c r="K4" s="175"/>
      <c r="L4" s="175"/>
      <c r="M4" s="175"/>
      <c r="N4" s="175"/>
      <c r="O4" s="175"/>
      <c r="P4" s="176"/>
      <c r="Q4" s="147" t="s">
        <v>53</v>
      </c>
      <c r="R4" s="148"/>
      <c r="S4" s="148"/>
      <c r="T4" s="148"/>
      <c r="U4" s="148"/>
      <c r="V4" s="148"/>
      <c r="W4" s="148"/>
      <c r="X4" s="149"/>
      <c r="Y4" s="9" t="s">
        <v>137</v>
      </c>
    </row>
    <row r="5" spans="1:26" ht="27.75" customHeight="1" x14ac:dyDescent="0.4">
      <c r="A5" s="150"/>
      <c r="B5" s="170"/>
      <c r="C5" s="171"/>
      <c r="D5" s="172"/>
      <c r="E5" s="173"/>
      <c r="F5" s="170"/>
      <c r="G5" s="171"/>
      <c r="H5" s="173"/>
      <c r="I5" s="179" t="s">
        <v>55</v>
      </c>
      <c r="J5" s="178">
        <v>6.35</v>
      </c>
      <c r="K5" s="177">
        <v>9.52</v>
      </c>
      <c r="L5" s="177">
        <v>12.7</v>
      </c>
      <c r="M5" s="177">
        <v>15.88</v>
      </c>
      <c r="N5" s="177">
        <v>19.05</v>
      </c>
      <c r="O5" s="180">
        <v>22.22</v>
      </c>
      <c r="P5" s="179" t="s">
        <v>123</v>
      </c>
      <c r="Q5" s="143" t="s">
        <v>55</v>
      </c>
      <c r="R5" s="181">
        <v>9.52</v>
      </c>
      <c r="S5" s="182">
        <v>12.7</v>
      </c>
      <c r="T5" s="182">
        <v>15.88</v>
      </c>
      <c r="U5" s="182">
        <v>22.22</v>
      </c>
      <c r="V5" s="182">
        <v>25.4</v>
      </c>
      <c r="W5" s="183">
        <v>28.58</v>
      </c>
      <c r="X5" s="151" t="s">
        <v>123</v>
      </c>
      <c r="Y5" s="10"/>
    </row>
    <row r="6" spans="1:26" x14ac:dyDescent="0.4">
      <c r="A6" s="219">
        <v>1</v>
      </c>
      <c r="B6" s="220" t="s">
        <v>47</v>
      </c>
      <c r="C6" s="221">
        <v>20</v>
      </c>
      <c r="D6" s="222">
        <v>20</v>
      </c>
      <c r="E6" s="295">
        <f ca="1">C6*0.2/1000/VLOOKUP(D6,参照飽和表!$A$5:$I$135,4,FALSE)</f>
        <v>3.093580819798917</v>
      </c>
      <c r="F6" s="223" t="s">
        <v>132</v>
      </c>
      <c r="G6" s="222">
        <v>-35</v>
      </c>
      <c r="H6" s="295">
        <f ca="1">'C1220T'!F5*16*20*2.4*1.1*0.3/VLOOKUP(G6,参照飽和表!$A$5:$I$135,4,FALSE)</f>
        <v>26.891570143179681</v>
      </c>
      <c r="I6" s="224">
        <v>20</v>
      </c>
      <c r="J6" s="225"/>
      <c r="K6" s="226"/>
      <c r="L6" s="226"/>
      <c r="M6" s="226"/>
      <c r="N6" s="227"/>
      <c r="O6" s="228">
        <v>30</v>
      </c>
      <c r="P6" s="286">
        <f ca="1">(IFERROR('C1220T'!$F$3*J6,0)+IFERROR('C1220T'!$F$4*K6,0)+IFERROR('C1220T'!$F$5*L6,0)+IFERROR('C1220T'!$F$6*M6,0)+IFERROR('C1220T'!$F$7*N6,0)+IFERROR('C1220T'!$F$8*O6,0))/VLOOKUP(I6,参照飽和表!$A$5:$I$135,4,FALSE)</f>
        <v>7.4547419896214819</v>
      </c>
      <c r="Q6" s="224">
        <v>20</v>
      </c>
      <c r="R6" s="230"/>
      <c r="S6" s="226"/>
      <c r="T6" s="226"/>
      <c r="U6" s="226"/>
      <c r="V6" s="226"/>
      <c r="W6" s="231">
        <v>30</v>
      </c>
      <c r="X6" s="286">
        <f ca="1">(IFERROR('C1220T'!$F$4*R6,0)+IFERROR('C1220T'!$F$5*S6,0)+IFERROR('C1220T'!$F$6*T6,0)+IFERROR('C1220T'!$F$8*U6,0)+IFERROR('C1220T'!$F$9*原本!V6,0)+IFERROR('C1220T'!$F$10*原本!W6,0))/VLOOKUP(Q6,参照飽和表!$A$5:$I$135,5,FALSE)</f>
        <v>3.2327557629594836</v>
      </c>
      <c r="Y6" s="229">
        <f ca="1">E6+H6+P6+X6</f>
        <v>40.672648715559561</v>
      </c>
      <c r="Z6" s="305"/>
    </row>
    <row r="7" spans="1:26" x14ac:dyDescent="0.4">
      <c r="A7" s="232">
        <v>2</v>
      </c>
      <c r="B7" s="233" t="s">
        <v>47</v>
      </c>
      <c r="C7" s="234">
        <v>20</v>
      </c>
      <c r="D7" s="235">
        <v>20</v>
      </c>
      <c r="E7" s="296">
        <f ca="1">C7*0.2/1000/VLOOKUP(D7,参照飽和表!$A$5:$I$135,4,FALSE)</f>
        <v>3.093580819798917</v>
      </c>
      <c r="F7" s="233" t="s">
        <v>131</v>
      </c>
      <c r="G7" s="235">
        <v>-35</v>
      </c>
      <c r="H7" s="296">
        <f ca="1">'C1220T'!F5*16*20*2.4*1.1*0.3/VLOOKUP(G7,参照飽和表!$A$5:$I$135,4,FALSE)</f>
        <v>26.891570143179681</v>
      </c>
      <c r="I7" s="236">
        <v>20</v>
      </c>
      <c r="J7" s="237"/>
      <c r="K7" s="238"/>
      <c r="L7" s="238"/>
      <c r="M7" s="238"/>
      <c r="N7" s="238"/>
      <c r="O7" s="239">
        <v>30</v>
      </c>
      <c r="P7" s="287">
        <f ca="1">(IFERROR('C1220T'!$F$3*J7,0)+IFERROR('C1220T'!$F$4*K7,0)+IFERROR('C1220T'!$F$5*L7,0)+IFERROR('C1220T'!$F$6*M7,0)+IFERROR('C1220T'!$F$7*N7,0)+IFERROR('C1220T'!$F$8*O7,0))/VLOOKUP(I7,参照飽和表!$A$5:$I$135,4,FALSE)</f>
        <v>7.4547419896214819</v>
      </c>
      <c r="Q7" s="236">
        <v>20</v>
      </c>
      <c r="R7" s="241"/>
      <c r="S7" s="238"/>
      <c r="T7" s="238"/>
      <c r="U7" s="238"/>
      <c r="V7" s="238"/>
      <c r="W7" s="242">
        <v>30</v>
      </c>
      <c r="X7" s="287">
        <f ca="1">(IFERROR('C1220T'!$F$4*R7,0)+IFERROR('C1220T'!$F$5*S7,0)+IFERROR('C1220T'!$F$6*T7,0)+IFERROR('C1220T'!$F$8*U7,0)+IFERROR('C1220T'!$F$9*原本!V7,0)+IFERROR('C1220T'!$F$10*原本!W7,0))/VLOOKUP(Q7,参照飽和表!$A$5:$I$135,5,FALSE)</f>
        <v>3.2327557629594836</v>
      </c>
      <c r="Y7" s="240">
        <f t="shared" ref="Y7:Y16" ca="1" si="0">E7+H7+P7+X7</f>
        <v>40.672648715559561</v>
      </c>
      <c r="Z7" s="305"/>
    </row>
    <row r="8" spans="1:26" x14ac:dyDescent="0.4">
      <c r="A8" s="243">
        <v>3</v>
      </c>
      <c r="B8" s="233" t="s">
        <v>47</v>
      </c>
      <c r="C8" s="244">
        <v>20</v>
      </c>
      <c r="D8" s="245">
        <v>20</v>
      </c>
      <c r="E8" s="303">
        <f ca="1">C8*0.2/1000/VLOOKUP(D8,参照飽和表!$A$5:$I$135,4,FALSE)</f>
        <v>3.093580819798917</v>
      </c>
      <c r="F8" s="246" t="s">
        <v>133</v>
      </c>
      <c r="G8" s="245">
        <v>-35</v>
      </c>
      <c r="H8" s="296">
        <f ca="1">'C1220T'!F5*16*20*2.4*1.1*0.3/VLOOKUP(G8,参照飽和表!$A$5:$I$135,4,FALSE)</f>
        <v>26.891570143179681</v>
      </c>
      <c r="I8" s="247">
        <v>20</v>
      </c>
      <c r="J8" s="248"/>
      <c r="K8" s="249"/>
      <c r="L8" s="249"/>
      <c r="M8" s="249"/>
      <c r="N8" s="249"/>
      <c r="O8" s="250">
        <v>30</v>
      </c>
      <c r="P8" s="288">
        <f ca="1">(IFERROR('C1220T'!$F$3*J8,0)+IFERROR('C1220T'!$F$4*K8,0)+IFERROR('C1220T'!$F$5*L8,0)+IFERROR('C1220T'!$F$6*M8,0)+IFERROR('C1220T'!$F$7*N8,0)+IFERROR('C1220T'!$F$8*O8,0))/VLOOKUP(I8,参照飽和表!$A$5:$I$135,4,FALSE)</f>
        <v>7.4547419896214819</v>
      </c>
      <c r="Q8" s="247">
        <v>20</v>
      </c>
      <c r="R8" s="252"/>
      <c r="S8" s="249"/>
      <c r="T8" s="249"/>
      <c r="U8" s="249"/>
      <c r="V8" s="249"/>
      <c r="W8" s="253">
        <v>30</v>
      </c>
      <c r="X8" s="288">
        <f ca="1">(IFERROR('C1220T'!$F$4*R8,0)+IFERROR('C1220T'!$F$5*S8,0)+IFERROR('C1220T'!$F$6*T8,0)+IFERROR('C1220T'!$F$8*U8,0)+IFERROR('C1220T'!$F$9*原本!V8,0)+IFERROR('C1220T'!$F$10*原本!W8,0))/VLOOKUP(Q8,参照飽和表!$A$5:$I$135,5,FALSE)</f>
        <v>3.2327557629594836</v>
      </c>
      <c r="Y8" s="251">
        <f t="shared" ca="1" si="0"/>
        <v>40.672648715559561</v>
      </c>
      <c r="Z8" s="305"/>
    </row>
    <row r="9" spans="1:26" x14ac:dyDescent="0.4">
      <c r="A9" s="254">
        <v>4</v>
      </c>
      <c r="B9" s="255" t="s">
        <v>47</v>
      </c>
      <c r="C9" s="256">
        <v>20</v>
      </c>
      <c r="D9" s="257">
        <v>20</v>
      </c>
      <c r="E9" s="297">
        <f ca="1">C9*0.2/1000/VLOOKUP(D9,参照飽和表!$A$5:$I$135,4,FALSE)</f>
        <v>3.093580819798917</v>
      </c>
      <c r="F9" s="255" t="s">
        <v>134</v>
      </c>
      <c r="G9" s="257">
        <v>-35</v>
      </c>
      <c r="H9" s="297">
        <f ca="1">'C1220T'!F5*16*20*2.4*1.1*0.3/VLOOKUP(G9,参照飽和表!$A$5:$I$135,4,FALSE)</f>
        <v>26.891570143179681</v>
      </c>
      <c r="I9" s="258">
        <v>20</v>
      </c>
      <c r="J9" s="259"/>
      <c r="K9" s="260"/>
      <c r="L9" s="260"/>
      <c r="M9" s="260"/>
      <c r="N9" s="260"/>
      <c r="O9" s="261">
        <v>30</v>
      </c>
      <c r="P9" s="289">
        <f ca="1">(IFERROR('C1220T'!$F$3*J9,0)+IFERROR('C1220T'!$F$4*K9,0)+IFERROR('C1220T'!$F$5*L9,0)+IFERROR('C1220T'!$F$6*M9,0)+IFERROR('C1220T'!$F$7*N9,0)+IFERROR('C1220T'!$F$8*O9,0))/VLOOKUP(I9,参照飽和表!$A$5:$I$135,4,FALSE)</f>
        <v>7.4547419896214819</v>
      </c>
      <c r="Q9" s="258">
        <v>20</v>
      </c>
      <c r="R9" s="263"/>
      <c r="S9" s="260"/>
      <c r="T9" s="260"/>
      <c r="U9" s="260"/>
      <c r="V9" s="260"/>
      <c r="W9" s="264">
        <v>30</v>
      </c>
      <c r="X9" s="289">
        <f ca="1">(IFERROR('C1220T'!$F$4*R9,0)+IFERROR('C1220T'!$F$5*S9,0)+IFERROR('C1220T'!$F$6*T9,0)+IFERROR('C1220T'!$F$8*U9,0)+IFERROR('C1220T'!$F$9*原本!V9,0)+IFERROR('C1220T'!$F$10*原本!W9,0))/VLOOKUP(Q9,参照飽和表!$A$5:$I$135,5,FALSE)</f>
        <v>3.2327557629594836</v>
      </c>
      <c r="Y9" s="262">
        <f t="shared" ca="1" si="0"/>
        <v>40.672648715559561</v>
      </c>
      <c r="Z9" s="305"/>
    </row>
    <row r="10" spans="1:26" x14ac:dyDescent="0.4">
      <c r="A10" s="156">
        <v>5</v>
      </c>
      <c r="B10" s="209" t="s">
        <v>125</v>
      </c>
      <c r="C10" s="210">
        <v>20</v>
      </c>
      <c r="D10" s="211">
        <v>20</v>
      </c>
      <c r="E10" s="304">
        <f ca="1">C10*0.2/1000/VLOOKUP(D10,参照飽和表!$A$5:$I$135,4,FALSE)</f>
        <v>3.093580819798917</v>
      </c>
      <c r="F10" s="209" t="s">
        <v>135</v>
      </c>
      <c r="G10" s="211">
        <v>-5</v>
      </c>
      <c r="H10" s="298">
        <f ca="1">'C1220T'!F5*8*36*2.2*1.1*0.3/VLOOKUP(G10,参照飽和表!$A$5:$I$135,4,FALSE)</f>
        <v>19.347119311272131</v>
      </c>
      <c r="I10" s="212">
        <v>20</v>
      </c>
      <c r="J10" s="213"/>
      <c r="K10" s="214"/>
      <c r="L10" s="214"/>
      <c r="M10" s="214"/>
      <c r="N10" s="214"/>
      <c r="O10" s="215">
        <v>30</v>
      </c>
      <c r="P10" s="290">
        <f ca="1">(IFERROR('C1220T'!$F$3*J10,0)+IFERROR('C1220T'!$F$4*K10,0)+IFERROR('C1220T'!$F$5*L10,0)+IFERROR('C1220T'!$F$6*M10,0)+IFERROR('C1220T'!$F$7*N10,0)+IFERROR('C1220T'!$F$8*O10,0))/VLOOKUP(I10,参照飽和表!$A$5:$I$135,4,FALSE)</f>
        <v>7.4547419896214819</v>
      </c>
      <c r="Q10" s="212">
        <v>20</v>
      </c>
      <c r="R10" s="217"/>
      <c r="S10" s="214"/>
      <c r="T10" s="214"/>
      <c r="U10" s="214"/>
      <c r="V10" s="214"/>
      <c r="W10" s="218">
        <v>30</v>
      </c>
      <c r="X10" s="290">
        <f ca="1">(IFERROR('C1220T'!$F$4*R10,0)+IFERROR('C1220T'!$F$5*S10,0)+IFERROR('C1220T'!$F$6*T10,0)+IFERROR('C1220T'!$F$8*U10,0)+IFERROR('C1220T'!$F$9*原本!V10,0)+IFERROR('C1220T'!$F$10*原本!W10,0))/VLOOKUP(Q10,参照飽和表!$A$5:$I$135,5,FALSE)</f>
        <v>3.2327557629594836</v>
      </c>
      <c r="Y10" s="216">
        <f t="shared" ca="1" si="0"/>
        <v>33.128197883652014</v>
      </c>
      <c r="Z10" s="305"/>
    </row>
    <row r="11" spans="1:26" x14ac:dyDescent="0.4">
      <c r="A11" s="198">
        <v>6</v>
      </c>
      <c r="B11" s="199" t="s">
        <v>125</v>
      </c>
      <c r="C11" s="200">
        <v>20</v>
      </c>
      <c r="D11" s="201">
        <v>20</v>
      </c>
      <c r="E11" s="299">
        <f ca="1">C11*0.2/1000/VLOOKUP(D11,参照飽和表!$A$5:$I$135,4,FALSE)</f>
        <v>3.093580819798917</v>
      </c>
      <c r="F11" s="199" t="s">
        <v>136</v>
      </c>
      <c r="G11" s="201">
        <v>-5</v>
      </c>
      <c r="H11" s="299">
        <f ca="1">'C1220T'!F5*8*36*2.2*1.1*0.3/VLOOKUP(G11,参照飽和表!$A$5:$I$135,4,FALSE)</f>
        <v>19.347119311272131</v>
      </c>
      <c r="I11" s="202">
        <v>20</v>
      </c>
      <c r="J11" s="203"/>
      <c r="K11" s="204"/>
      <c r="L11" s="204"/>
      <c r="M11" s="204"/>
      <c r="N11" s="204"/>
      <c r="O11" s="205">
        <v>30</v>
      </c>
      <c r="P11" s="291">
        <f ca="1">(IFERROR('C1220T'!$F$3*J11,0)+IFERROR('C1220T'!$F$4*K11,0)+IFERROR('C1220T'!$F$5*L11,0)+IFERROR('C1220T'!$F$6*M11,0)+IFERROR('C1220T'!$F$7*N11,0)+IFERROR('C1220T'!$F$8*O11,0))/VLOOKUP(I11,参照飽和表!$A$5:$I$135,4,FALSE)</f>
        <v>7.4547419896214819</v>
      </c>
      <c r="Q11" s="202">
        <v>20</v>
      </c>
      <c r="R11" s="207"/>
      <c r="S11" s="204"/>
      <c r="T11" s="204"/>
      <c r="U11" s="204"/>
      <c r="V11" s="204"/>
      <c r="W11" s="208">
        <v>30</v>
      </c>
      <c r="X11" s="291">
        <f ca="1">(IFERROR('C1220T'!$F$4*R11,0)+IFERROR('C1220T'!$F$5*S11,0)+IFERROR('C1220T'!$F$6*T11,0)+IFERROR('C1220T'!$F$8*U11,0)+IFERROR('C1220T'!$F$9*原本!V11,0)+IFERROR('C1220T'!$F$10*原本!W11,0))/VLOOKUP(Q11,参照飽和表!$A$5:$I$135,5,FALSE)</f>
        <v>3.2327557629594836</v>
      </c>
      <c r="Y11" s="206">
        <f t="shared" ca="1" si="0"/>
        <v>33.128197883652014</v>
      </c>
      <c r="Z11" s="305"/>
    </row>
    <row r="12" spans="1:26" x14ac:dyDescent="0.4">
      <c r="A12" s="187">
        <v>7</v>
      </c>
      <c r="B12" s="188" t="s">
        <v>126</v>
      </c>
      <c r="C12" s="189">
        <v>1.2</v>
      </c>
      <c r="D12" s="190">
        <v>20</v>
      </c>
      <c r="E12" s="300">
        <f ca="1">C12*0.2/1000/VLOOKUP(D12,参照飽和表!$A$5:$I$135,4,FALSE)</f>
        <v>0.185614849187935</v>
      </c>
      <c r="F12" s="188" t="s">
        <v>127</v>
      </c>
      <c r="G12" s="190">
        <v>-5</v>
      </c>
      <c r="H12" s="300">
        <f ca="1">2*'C1220T'!F3*4*15*0.558*1.1*0.3/VLOOKUP(G12,参照飽和表!$A$5:$I$135,4,FALSE)</f>
        <v>0.3744189732407503</v>
      </c>
      <c r="I12" s="191">
        <v>20</v>
      </c>
      <c r="J12" s="192">
        <v>60</v>
      </c>
      <c r="K12" s="193"/>
      <c r="L12" s="193"/>
      <c r="M12" s="193"/>
      <c r="N12" s="193"/>
      <c r="O12" s="194"/>
      <c r="P12" s="292">
        <f ca="1">(IFERROR('C1220T'!$F$3*J12,0)+IFERROR('C1220T'!$F$4*K12,0)+IFERROR('C1220T'!$F$5*L12,0)+IFERROR('C1220T'!$F$6*M12,0)+IFERROR('C1220T'!$F$7*N12,0)+IFERROR('C1220T'!$F$8*O12,0))/VLOOKUP(I12,参照飽和表!$A$5:$I$135,4,FALSE)</f>
        <v>0.82229912119048376</v>
      </c>
      <c r="Q12" s="191">
        <v>20</v>
      </c>
      <c r="R12" s="196">
        <v>60</v>
      </c>
      <c r="S12" s="193"/>
      <c r="T12" s="193"/>
      <c r="U12" s="193"/>
      <c r="V12" s="193"/>
      <c r="W12" s="197"/>
      <c r="X12" s="292">
        <f ca="1">(IFERROR('C1220T'!$F$4*R12,0)+IFERROR('C1220T'!$F$5*S12,0)+IFERROR('C1220T'!$F$6*T12,0)+IFERROR('C1220T'!$F$8*U12,0)+IFERROR('C1220T'!$F$9*原本!V12,0)+IFERROR('C1220T'!$F$10*原本!W12,0))/VLOOKUP(Q12,参照飽和表!$A$5:$I$135,5,FALSE)</f>
        <v>0.57476654138654415</v>
      </c>
      <c r="Y12" s="195">
        <f t="shared" ca="1" si="0"/>
        <v>1.9570994850057131</v>
      </c>
      <c r="Z12" s="305"/>
    </row>
    <row r="13" spans="1:26" x14ac:dyDescent="0.4">
      <c r="A13" s="156">
        <v>8</v>
      </c>
      <c r="B13" s="209" t="s">
        <v>125</v>
      </c>
      <c r="C13" s="210">
        <v>20</v>
      </c>
      <c r="D13" s="211">
        <v>20</v>
      </c>
      <c r="E13" s="304">
        <f ca="1">C13*0.2/1000/VLOOKUP(D13,参照飽和表!$A$5:$I$135,4,FALSE)</f>
        <v>3.093580819798917</v>
      </c>
      <c r="F13" s="209" t="s">
        <v>128</v>
      </c>
      <c r="G13" s="211">
        <v>-5</v>
      </c>
      <c r="H13" s="298">
        <f ca="1">2*'C1220T'!F3*6*18*2.82*1.1*0.3/VLOOKUP(G13,参照飽和表!$A$5:$I$135,4,FALSE)</f>
        <v>3.4060048533513405</v>
      </c>
      <c r="I13" s="212">
        <v>20</v>
      </c>
      <c r="J13" s="213"/>
      <c r="K13" s="214"/>
      <c r="L13" s="214"/>
      <c r="M13" s="214"/>
      <c r="N13" s="214"/>
      <c r="O13" s="215">
        <f>2*30</f>
        <v>60</v>
      </c>
      <c r="P13" s="290">
        <f ca="1">(IFERROR('C1220T'!$F$3*J13,0)+IFERROR('C1220T'!$F$4*K13,0)+IFERROR('C1220T'!$F$5*L13,0)+IFERROR('C1220T'!$F$6*M13,0)+IFERROR('C1220T'!$F$7*N13,0)+IFERROR('C1220T'!$F$8*O13,0))/VLOOKUP(I13,参照飽和表!$A$5:$I$135,4,FALSE)</f>
        <v>14.909483979242964</v>
      </c>
      <c r="Q13" s="212">
        <v>20</v>
      </c>
      <c r="R13" s="217"/>
      <c r="S13" s="214"/>
      <c r="T13" s="214"/>
      <c r="U13" s="214"/>
      <c r="V13" s="214"/>
      <c r="W13" s="218">
        <v>60</v>
      </c>
      <c r="X13" s="290">
        <f ca="1">(IFERROR('C1220T'!$F$4*R13,0)+IFERROR('C1220T'!$F$5*S13,0)+IFERROR('C1220T'!$F$6*T13,0)+IFERROR('C1220T'!$F$8*U13,0)+IFERROR('C1220T'!$F$9*原本!V13,0)+IFERROR('C1220T'!$F$10*原本!W13,0))/VLOOKUP(Q13,参照飽和表!$A$5:$I$135,5,FALSE)</f>
        <v>6.4655115259189673</v>
      </c>
      <c r="Y13" s="216">
        <f t="shared" ca="1" si="0"/>
        <v>27.874581178312187</v>
      </c>
      <c r="Z13" s="305"/>
    </row>
    <row r="14" spans="1:26" x14ac:dyDescent="0.4">
      <c r="A14" s="198">
        <v>9</v>
      </c>
      <c r="B14" s="199" t="s">
        <v>125</v>
      </c>
      <c r="C14" s="200">
        <v>20</v>
      </c>
      <c r="D14" s="201">
        <v>20</v>
      </c>
      <c r="E14" s="299">
        <f ca="1">C14*0.2/1000/VLOOKUP(D14,参照飽和表!$A$5:$I$135,4,FALSE)</f>
        <v>3.093580819798917</v>
      </c>
      <c r="F14" s="199" t="s">
        <v>128</v>
      </c>
      <c r="G14" s="201">
        <v>-5</v>
      </c>
      <c r="H14" s="299">
        <f ca="1">2*'C1220T'!F3*6*18*2.82*1.1*0.3/VLOOKUP(G14,参照飽和表!$A$5:$I$135,4,FALSE)</f>
        <v>3.4060048533513405</v>
      </c>
      <c r="I14" s="202">
        <v>20</v>
      </c>
      <c r="J14" s="203"/>
      <c r="K14" s="204"/>
      <c r="L14" s="204"/>
      <c r="M14" s="204"/>
      <c r="N14" s="204"/>
      <c r="O14" s="205">
        <f>2*30</f>
        <v>60</v>
      </c>
      <c r="P14" s="291">
        <f ca="1">(IFERROR('C1220T'!$F$3*J14,0)+IFERROR('C1220T'!$F$4*K14,0)+IFERROR('C1220T'!$F$5*L14,0)+IFERROR('C1220T'!$F$6*M14,0)+IFERROR('C1220T'!$F$7*N14,0)+IFERROR('C1220T'!$F$8*O14,0))/VLOOKUP(I14,参照飽和表!$A$5:$I$135,4,FALSE)</f>
        <v>14.909483979242964</v>
      </c>
      <c r="Q14" s="202">
        <v>20</v>
      </c>
      <c r="R14" s="207"/>
      <c r="S14" s="204"/>
      <c r="T14" s="204"/>
      <c r="U14" s="204"/>
      <c r="V14" s="204"/>
      <c r="W14" s="208">
        <v>60</v>
      </c>
      <c r="X14" s="291">
        <f ca="1">(IFERROR('C1220T'!$F$4*R14,0)+IFERROR('C1220T'!$F$5*S14,0)+IFERROR('C1220T'!$F$6*T14,0)+IFERROR('C1220T'!$F$8*U14,0)+IFERROR('C1220T'!$F$9*原本!V14,0)+IFERROR('C1220T'!$F$10*原本!W14,0))/VLOOKUP(Q14,参照飽和表!$A$5:$I$135,5,FALSE)</f>
        <v>6.4655115259189673</v>
      </c>
      <c r="Y14" s="206">
        <f t="shared" ca="1" si="0"/>
        <v>27.874581178312187</v>
      </c>
      <c r="Z14" s="305"/>
    </row>
    <row r="15" spans="1:26" x14ac:dyDescent="0.4">
      <c r="A15" s="265">
        <v>10</v>
      </c>
      <c r="B15" s="266" t="s">
        <v>125</v>
      </c>
      <c r="C15" s="267">
        <v>20</v>
      </c>
      <c r="D15" s="268">
        <v>20</v>
      </c>
      <c r="E15" s="301">
        <f ca="1">C15*0.2/1000/VLOOKUP(D15,参照飽和表!$A$5:$I$135,4,FALSE)</f>
        <v>3.093580819798917</v>
      </c>
      <c r="F15" s="266" t="s">
        <v>129</v>
      </c>
      <c r="G15" s="268">
        <v>-5</v>
      </c>
      <c r="H15" s="301">
        <f ca="1">4*'C1220T'!F3*6*18*2.25*1.1*0.3/VLOOKUP(G15,参照飽和表!$A$5:$I$135,4,FALSE)</f>
        <v>5.4351141276883101</v>
      </c>
      <c r="I15" s="269">
        <v>20</v>
      </c>
      <c r="J15" s="270"/>
      <c r="K15" s="271">
        <f>30*4</f>
        <v>120</v>
      </c>
      <c r="L15" s="271"/>
      <c r="M15" s="271"/>
      <c r="N15" s="271"/>
      <c r="O15" s="272"/>
      <c r="P15" s="293">
        <f ca="1">(IFERROR('C1220T'!$F$3*J15,0)+IFERROR('C1220T'!$F$4*K15,0)+IFERROR('C1220T'!$F$5*L15,0)+IFERROR('C1220T'!$F$6*M15,0)+IFERROR('C1220T'!$F$7*N15,0)+IFERROR('C1220T'!$F$8*O15,0))/VLOOKUP(I15,参照飽和表!$A$5:$I$135,4,FALSE)</f>
        <v>4.5779510464991979</v>
      </c>
      <c r="Q15" s="269">
        <v>20</v>
      </c>
      <c r="R15" s="274"/>
      <c r="S15" s="271"/>
      <c r="T15" s="271">
        <f>4*30</f>
        <v>120</v>
      </c>
      <c r="U15" s="271"/>
      <c r="V15" s="271"/>
      <c r="W15" s="275"/>
      <c r="X15" s="293">
        <f ca="1">(IFERROR('C1220T'!$F$4*R15,0)+IFERROR('C1220T'!$F$5*S15,0)+IFERROR('C1220T'!$F$6*T15,0)+IFERROR('C1220T'!$F$8*U15,0)+IFERROR('C1220T'!$F$9*原本!V15,0)+IFERROR('C1220T'!$F$10*原本!W15,0))/VLOOKUP(Q15,参照飽和表!$A$5:$I$135,5,FALSE)</f>
        <v>3.5241267096827369</v>
      </c>
      <c r="Y15" s="273">
        <f t="shared" ca="1" si="0"/>
        <v>16.630772703669162</v>
      </c>
      <c r="Z15" s="305"/>
    </row>
    <row r="16" spans="1:26" x14ac:dyDescent="0.4">
      <c r="A16" s="151">
        <v>11</v>
      </c>
      <c r="B16" s="276" t="s">
        <v>130</v>
      </c>
      <c r="C16" s="277">
        <v>7.45</v>
      </c>
      <c r="D16" s="278">
        <v>20</v>
      </c>
      <c r="E16" s="302">
        <f ca="1">C16*0.2/1000/VLOOKUP(D16,参照飽和表!$A$5:$I$135,4,FALSE)</f>
        <v>1.1523588553750967</v>
      </c>
      <c r="F16" s="276" t="s">
        <v>124</v>
      </c>
      <c r="G16" s="278">
        <v>-5</v>
      </c>
      <c r="H16" s="302">
        <f ca="1">'C1220T'!F3*16*20*2.4*1.1*0.3/VLOOKUP(G16,参照飽和表!$A$5:$I$135,4,FALSE)</f>
        <v>4.2944111626179238</v>
      </c>
      <c r="I16" s="279">
        <v>20</v>
      </c>
      <c r="J16" s="280"/>
      <c r="K16" s="281"/>
      <c r="L16" s="281"/>
      <c r="M16" s="281"/>
      <c r="N16" s="281"/>
      <c r="O16" s="282">
        <v>30</v>
      </c>
      <c r="P16" s="294">
        <f ca="1">(IFERROR('C1220T'!$F$3*J16,0)+IFERROR('C1220T'!$F$4*K16,0)+IFERROR('C1220T'!$F$5*L16,0)+IFERROR('C1220T'!$F$6*M16,0)+IFERROR('C1220T'!$F$7*N16,0)+IFERROR('C1220T'!$F$8*O16,0))/VLOOKUP(I16,参照飽和表!$A$5:$I$135,4,FALSE)</f>
        <v>7.4547419896214819</v>
      </c>
      <c r="Q16" s="279">
        <v>20</v>
      </c>
      <c r="R16" s="284"/>
      <c r="S16" s="281"/>
      <c r="T16" s="281"/>
      <c r="U16" s="281"/>
      <c r="V16" s="281"/>
      <c r="W16" s="285">
        <v>30</v>
      </c>
      <c r="X16" s="294">
        <f ca="1">(IFERROR('C1220T'!$F$4*R16,0)+IFERROR('C1220T'!$F$5*S16,0)+IFERROR('C1220T'!$F$6*T16,0)+IFERROR('C1220T'!$F$8*U16,0)+IFERROR('C1220T'!$F$9*原本!V16,0)+IFERROR('C1220T'!$F$10*原本!W16,0))/VLOOKUP(Q16,参照飽和表!$A$5:$I$135,5,FALSE)</f>
        <v>3.2327557629594836</v>
      </c>
      <c r="Y16" s="283">
        <f t="shared" ca="1" si="0"/>
        <v>16.134267770573988</v>
      </c>
      <c r="Z16" s="305"/>
    </row>
  </sheetData>
  <mergeCells count="11">
    <mergeCell ref="Y4:Y5"/>
    <mergeCell ref="I4:P4"/>
    <mergeCell ref="Q4:X4"/>
    <mergeCell ref="A4:A5"/>
    <mergeCell ref="B4:B5"/>
    <mergeCell ref="C4:C5"/>
    <mergeCell ref="F4:F5"/>
    <mergeCell ref="G4:G5"/>
    <mergeCell ref="D4:D5"/>
    <mergeCell ref="E4:E5"/>
    <mergeCell ref="H4:H5"/>
  </mergeCells>
  <phoneticPr fontId="1"/>
  <dataValidations disablePrompts="1" count="1">
    <dataValidation type="list" allowBlank="1" showInputMessage="1" showErrorMessage="1" sqref="B1" xr:uid="{7AA84A57-46B1-4435-9F04-B542DA7B0F6C}">
      <formula1>"R404A,R410A,R448A,R463A-J,CO2,R717"</formula1>
    </dataValidation>
  </dataValidations>
  <pageMargins left="0.7" right="0.7" top="0.75" bottom="0.75" header="0.3" footer="0.3"/>
  <pageSetup paperSize="9" scale="57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034E7-E481-4A33-A3C4-DE37F19EFD2E}">
  <sheetPr codeName="Sheet3"/>
  <dimension ref="A1:F20"/>
  <sheetViews>
    <sheetView workbookViewId="0">
      <selection activeCell="F5" sqref="F5"/>
    </sheetView>
  </sheetViews>
  <sheetFormatPr defaultRowHeight="18.75" x14ac:dyDescent="0.4"/>
  <cols>
    <col min="1" max="1" width="6.5" style="8" customWidth="1"/>
    <col min="2" max="2" width="17" customWidth="1"/>
    <col min="6" max="6" width="16" customWidth="1"/>
  </cols>
  <sheetData>
    <row r="1" spans="1:6" x14ac:dyDescent="0.4">
      <c r="A1" s="12" t="s">
        <v>57</v>
      </c>
      <c r="B1" s="13" t="s">
        <v>58</v>
      </c>
      <c r="C1" s="12" t="s">
        <v>59</v>
      </c>
      <c r="D1" s="12" t="s">
        <v>60</v>
      </c>
      <c r="E1" s="12" t="s">
        <v>61</v>
      </c>
      <c r="F1" s="12" t="s">
        <v>62</v>
      </c>
    </row>
    <row r="2" spans="1:6" x14ac:dyDescent="0.4">
      <c r="A2" s="12"/>
      <c r="B2" s="13" t="s">
        <v>63</v>
      </c>
      <c r="C2" s="12" t="s">
        <v>64</v>
      </c>
      <c r="D2" s="12" t="s">
        <v>64</v>
      </c>
      <c r="E2" s="12" t="s">
        <v>64</v>
      </c>
      <c r="F2" s="12" t="s">
        <v>65</v>
      </c>
    </row>
    <row r="3" spans="1:6" x14ac:dyDescent="0.4">
      <c r="A3" s="12">
        <v>3</v>
      </c>
      <c r="B3" s="11" t="s">
        <v>83</v>
      </c>
      <c r="C3" s="11">
        <v>6.35</v>
      </c>
      <c r="D3" s="11">
        <v>4.75</v>
      </c>
      <c r="E3" s="153">
        <v>0.8</v>
      </c>
      <c r="F3" s="154">
        <f>PI()*(D3/1000)^2/4</f>
        <v>1.7720546061654925E-5</v>
      </c>
    </row>
    <row r="4" spans="1:6" x14ac:dyDescent="0.4">
      <c r="A4" s="12">
        <v>4</v>
      </c>
      <c r="B4" s="11" t="s">
        <v>66</v>
      </c>
      <c r="C4" s="11">
        <v>9.5250000000000004</v>
      </c>
      <c r="D4" s="11">
        <v>7.9249999999999998</v>
      </c>
      <c r="E4" s="153">
        <v>0.8</v>
      </c>
      <c r="F4" s="154">
        <f t="shared" ref="F4:F20" si="0">PI()*(D4/1000)^2/4</f>
        <v>4.9327422526028865E-5</v>
      </c>
    </row>
    <row r="5" spans="1:6" x14ac:dyDescent="0.4">
      <c r="A5" s="12">
        <v>7</v>
      </c>
      <c r="B5" s="11" t="s">
        <v>67</v>
      </c>
      <c r="C5" s="11">
        <v>12.7</v>
      </c>
      <c r="D5" s="11">
        <v>11.1</v>
      </c>
      <c r="E5" s="153">
        <v>0.8</v>
      </c>
      <c r="F5" s="154">
        <f t="shared" si="0"/>
        <v>9.6768907712199614E-5</v>
      </c>
    </row>
    <row r="6" spans="1:6" x14ac:dyDescent="0.4">
      <c r="A6" s="12">
        <v>10</v>
      </c>
      <c r="B6" s="11" t="s">
        <v>68</v>
      </c>
      <c r="C6" s="11">
        <v>15.875999999999999</v>
      </c>
      <c r="D6" s="11">
        <v>13.875999999999999</v>
      </c>
      <c r="E6" s="153">
        <v>1</v>
      </c>
      <c r="F6" s="154">
        <f t="shared" si="0"/>
        <v>1.5122321388474431E-4</v>
      </c>
    </row>
    <row r="7" spans="1:6" x14ac:dyDescent="0.4">
      <c r="A7" s="12">
        <v>13</v>
      </c>
      <c r="B7" s="11" t="s">
        <v>69</v>
      </c>
      <c r="C7" s="11">
        <v>19.050999999999998</v>
      </c>
      <c r="D7" s="11">
        <v>17.050999999999998</v>
      </c>
      <c r="E7" s="153">
        <v>1</v>
      </c>
      <c r="F7" s="154">
        <f t="shared" si="0"/>
        <v>2.2834399245781663E-4</v>
      </c>
    </row>
    <row r="8" spans="1:6" x14ac:dyDescent="0.4">
      <c r="A8" s="12">
        <v>17</v>
      </c>
      <c r="B8" s="11" t="s">
        <v>70</v>
      </c>
      <c r="C8" s="11">
        <v>22.225999999999999</v>
      </c>
      <c r="D8" s="11">
        <v>20.225999999999999</v>
      </c>
      <c r="E8" s="153">
        <v>1</v>
      </c>
      <c r="F8" s="154">
        <f t="shared" si="0"/>
        <v>3.2129937975268588E-4</v>
      </c>
    </row>
    <row r="9" spans="1:6" x14ac:dyDescent="0.4">
      <c r="A9" s="12">
        <v>20</v>
      </c>
      <c r="B9" s="11" t="s">
        <v>71</v>
      </c>
      <c r="C9" s="11">
        <v>25.401</v>
      </c>
      <c r="D9" s="11">
        <v>23.401</v>
      </c>
      <c r="E9" s="153">
        <v>1</v>
      </c>
      <c r="F9" s="154">
        <f t="shared" si="0"/>
        <v>4.3008937576935187E-4</v>
      </c>
    </row>
    <row r="10" spans="1:6" x14ac:dyDescent="0.4">
      <c r="A10" s="12">
        <v>22</v>
      </c>
      <c r="B10" s="11" t="s">
        <v>72</v>
      </c>
      <c r="C10" s="11">
        <v>28.58</v>
      </c>
      <c r="D10" s="11">
        <v>26.58</v>
      </c>
      <c r="E10" s="153">
        <v>1</v>
      </c>
      <c r="F10" s="154">
        <f t="shared" si="0"/>
        <v>5.5488097500690898E-4</v>
      </c>
    </row>
    <row r="11" spans="1:6" x14ac:dyDescent="0.4">
      <c r="A11" s="12">
        <v>24</v>
      </c>
      <c r="B11" s="11" t="s">
        <v>73</v>
      </c>
      <c r="C11" s="11">
        <v>31.751000000000001</v>
      </c>
      <c r="D11" s="11">
        <v>29.550999999999998</v>
      </c>
      <c r="E11" s="153">
        <v>1.1000000000000001</v>
      </c>
      <c r="F11" s="154">
        <f t="shared" si="0"/>
        <v>6.8585805759091513E-4</v>
      </c>
    </row>
    <row r="12" spans="1:6" x14ac:dyDescent="0.4">
      <c r="A12" s="12">
        <v>26</v>
      </c>
      <c r="B12" s="11" t="s">
        <v>74</v>
      </c>
      <c r="C12" s="11">
        <v>34.92</v>
      </c>
      <c r="D12" s="11">
        <v>32.72</v>
      </c>
      <c r="E12" s="153">
        <v>1.1000000000000001</v>
      </c>
      <c r="F12" s="154">
        <f t="shared" si="0"/>
        <v>8.4084601709624664E-4</v>
      </c>
    </row>
    <row r="13" spans="1:6" x14ac:dyDescent="0.4">
      <c r="A13" s="12">
        <v>27</v>
      </c>
      <c r="B13" s="11" t="s">
        <v>75</v>
      </c>
      <c r="C13" s="11">
        <v>38.100999999999999</v>
      </c>
      <c r="D13" s="11">
        <v>35.801000000000002</v>
      </c>
      <c r="E13" s="152">
        <v>1.1499999999999999</v>
      </c>
      <c r="F13" s="154">
        <f t="shared" si="0"/>
        <v>1.0066539374306031E-3</v>
      </c>
    </row>
    <row r="14" spans="1:6" x14ac:dyDescent="0.4">
      <c r="A14" s="12">
        <v>31</v>
      </c>
      <c r="B14" s="11" t="s">
        <v>76</v>
      </c>
      <c r="C14" s="11">
        <v>41.28</v>
      </c>
      <c r="D14" s="11">
        <v>38.880000000000003</v>
      </c>
      <c r="E14" s="153">
        <v>1.2</v>
      </c>
      <c r="F14" s="154">
        <f t="shared" si="0"/>
        <v>1.1872505894516719E-3</v>
      </c>
    </row>
    <row r="15" spans="1:6" x14ac:dyDescent="0.4">
      <c r="A15" s="12">
        <v>32</v>
      </c>
      <c r="B15" s="11" t="s">
        <v>77</v>
      </c>
      <c r="C15" s="11">
        <v>44.45</v>
      </c>
      <c r="D15" s="11">
        <v>41.95</v>
      </c>
      <c r="E15" s="152">
        <v>1.25</v>
      </c>
      <c r="F15" s="154">
        <f t="shared" si="0"/>
        <v>1.382145651442238E-3</v>
      </c>
    </row>
    <row r="16" spans="1:6" x14ac:dyDescent="0.4">
      <c r="A16" s="12">
        <v>35</v>
      </c>
      <c r="B16" s="11" t="s">
        <v>78</v>
      </c>
      <c r="C16" s="11">
        <v>50.802</v>
      </c>
      <c r="D16" s="11">
        <v>48.002000000000002</v>
      </c>
      <c r="E16" s="153">
        <v>1.4</v>
      </c>
      <c r="F16" s="154">
        <f t="shared" si="0"/>
        <v>1.8097081680566861E-3</v>
      </c>
    </row>
    <row r="17" spans="1:6" x14ac:dyDescent="0.4">
      <c r="A17" s="12">
        <v>37</v>
      </c>
      <c r="B17" s="11" t="s">
        <v>79</v>
      </c>
      <c r="C17" s="11">
        <v>53.98</v>
      </c>
      <c r="D17" s="11">
        <v>50.98</v>
      </c>
      <c r="E17" s="153">
        <v>1.5</v>
      </c>
      <c r="F17" s="154">
        <f t="shared" si="0"/>
        <v>2.0412187249026974E-3</v>
      </c>
    </row>
    <row r="18" spans="1:6" x14ac:dyDescent="0.4">
      <c r="A18" s="12">
        <v>38</v>
      </c>
      <c r="B18" s="11" t="s">
        <v>80</v>
      </c>
      <c r="C18" s="11">
        <v>63.502000000000002</v>
      </c>
      <c r="D18" s="11">
        <v>60.002000000000002</v>
      </c>
      <c r="E18" s="152">
        <v>1.75</v>
      </c>
      <c r="F18" s="154">
        <f t="shared" si="0"/>
        <v>2.8276218869316217E-3</v>
      </c>
    </row>
    <row r="19" spans="1:6" x14ac:dyDescent="0.4">
      <c r="A19" s="12">
        <v>39</v>
      </c>
      <c r="B19" s="11" t="s">
        <v>81</v>
      </c>
      <c r="C19" s="11">
        <v>76.203000000000003</v>
      </c>
      <c r="D19" s="11">
        <v>72.003</v>
      </c>
      <c r="E19" s="153">
        <v>2.1</v>
      </c>
      <c r="F19" s="154">
        <f t="shared" si="0"/>
        <v>4.0718433781275426E-3</v>
      </c>
    </row>
    <row r="20" spans="1:6" x14ac:dyDescent="0.4">
      <c r="A20" s="12">
        <v>40</v>
      </c>
      <c r="B20" s="11" t="s">
        <v>82</v>
      </c>
      <c r="C20" s="11">
        <v>79.38</v>
      </c>
      <c r="D20" s="11">
        <f>C20-E20*2</f>
        <v>74.97999999999999</v>
      </c>
      <c r="E20" s="153">
        <v>2.2000000000000002</v>
      </c>
      <c r="F20" s="154">
        <f t="shared" si="0"/>
        <v>4.4155087887797189E-3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4FDB-C296-42E8-962A-C3FF444AB810}">
  <sheetPr codeName="Sheet4"/>
  <dimension ref="A1:P135"/>
  <sheetViews>
    <sheetView workbookViewId="0">
      <pane xSplit="1" ySplit="4" topLeftCell="B5" activePane="bottomRight" state="frozen"/>
      <selection activeCell="C6" sqref="C6"/>
      <selection pane="topRight" activeCell="C6" sqref="C6"/>
      <selection pane="bottomLeft" activeCell="C6" sqref="C6"/>
      <selection pane="bottomRight" activeCell="F14" sqref="F14"/>
    </sheetView>
  </sheetViews>
  <sheetFormatPr defaultRowHeight="16.5" x14ac:dyDescent="0.4"/>
  <cols>
    <col min="1" max="9" width="9" style="18"/>
    <col min="10" max="10" width="9" style="17"/>
    <col min="11" max="11" width="9" style="18"/>
    <col min="12" max="12" width="5.375" style="17" customWidth="1"/>
    <col min="13" max="18" width="14.625" style="17" customWidth="1"/>
    <col min="19" max="16384" width="9" style="17"/>
  </cols>
  <sheetData>
    <row r="1" spans="1:16" ht="17.25" thickBot="1" x14ac:dyDescent="0.45">
      <c r="A1" s="14" t="s">
        <v>56</v>
      </c>
      <c r="B1" s="15" t="str">
        <f>原本!B1</f>
        <v>CO2</v>
      </c>
      <c r="C1" s="16">
        <f>VLOOKUP(B1,K2:L8,2,FALSE)</f>
        <v>4</v>
      </c>
    </row>
    <row r="2" spans="1:16" x14ac:dyDescent="0.4">
      <c r="A2" s="19" t="s">
        <v>54</v>
      </c>
      <c r="B2" s="20" t="s">
        <v>84</v>
      </c>
      <c r="C2" s="21"/>
      <c r="D2" s="22" t="s">
        <v>85</v>
      </c>
      <c r="E2" s="23"/>
      <c r="F2" s="20" t="s">
        <v>86</v>
      </c>
      <c r="G2" s="21"/>
      <c r="H2" s="22" t="s">
        <v>87</v>
      </c>
      <c r="I2" s="21"/>
      <c r="K2" s="24" t="s">
        <v>56</v>
      </c>
      <c r="L2" s="24" t="s">
        <v>88</v>
      </c>
      <c r="M2" s="25" t="s">
        <v>89</v>
      </c>
      <c r="N2" s="25" t="s">
        <v>90</v>
      </c>
      <c r="O2" s="25" t="s">
        <v>91</v>
      </c>
      <c r="P2" s="25" t="s">
        <v>92</v>
      </c>
    </row>
    <row r="3" spans="1:16" ht="17.25" thickBot="1" x14ac:dyDescent="0.45">
      <c r="A3" s="26" t="s">
        <v>93</v>
      </c>
      <c r="B3" s="27" t="s">
        <v>94</v>
      </c>
      <c r="C3" s="28"/>
      <c r="D3" s="29" t="s">
        <v>95</v>
      </c>
      <c r="E3" s="30"/>
      <c r="F3" s="27" t="s">
        <v>96</v>
      </c>
      <c r="G3" s="28"/>
      <c r="H3" s="29" t="s">
        <v>97</v>
      </c>
      <c r="I3" s="28"/>
      <c r="K3" s="31" t="s">
        <v>98</v>
      </c>
      <c r="L3" s="32">
        <v>0</v>
      </c>
      <c r="M3" s="33">
        <v>67.3</v>
      </c>
      <c r="N3" s="33">
        <v>16.100000000000001</v>
      </c>
      <c r="O3" s="34">
        <v>126.8</v>
      </c>
      <c r="P3" s="34">
        <v>12.5</v>
      </c>
    </row>
    <row r="4" spans="1:16" ht="17.25" thickBot="1" x14ac:dyDescent="0.45">
      <c r="A4" s="35"/>
      <c r="B4" s="36" t="s">
        <v>99</v>
      </c>
      <c r="C4" s="37" t="s">
        <v>100</v>
      </c>
      <c r="D4" s="38" t="s">
        <v>99</v>
      </c>
      <c r="E4" s="39" t="s">
        <v>100</v>
      </c>
      <c r="F4" s="36" t="s">
        <v>99</v>
      </c>
      <c r="G4" s="37" t="s">
        <v>100</v>
      </c>
      <c r="H4" s="38" t="s">
        <v>99</v>
      </c>
      <c r="I4" s="37" t="s">
        <v>100</v>
      </c>
      <c r="K4" s="40" t="s">
        <v>101</v>
      </c>
      <c r="L4" s="41">
        <v>1</v>
      </c>
      <c r="M4" s="42">
        <v>98</v>
      </c>
      <c r="N4" s="42">
        <v>15.5</v>
      </c>
      <c r="O4" s="43">
        <v>120.9</v>
      </c>
      <c r="P4" s="43">
        <v>13.9</v>
      </c>
    </row>
    <row r="5" spans="1:16" x14ac:dyDescent="0.4">
      <c r="A5" s="44">
        <f ca="1">OFFSET(飽和表集!B5,0,10*参照飽和表!$C$1,)</f>
        <v>-50</v>
      </c>
      <c r="B5" s="157">
        <f ca="1">OFFSET(飽和表集!C5,0,10*参照飽和表!$C$1,)</f>
        <v>0.68233999999999995</v>
      </c>
      <c r="C5" s="158">
        <f ca="1">OFFSET(飽和表集!D5,0,10*参照飽和表!$C$1,)</f>
        <v>0</v>
      </c>
      <c r="D5" s="159">
        <f ca="1">OFFSET(飽和表集!E5,0,10*参照飽和表!$C$1,)</f>
        <v>8.6609999999999996E-4</v>
      </c>
      <c r="E5" s="160">
        <f ca="1">OFFSET(飽和表集!F5,0,10*参照飽和表!$C$1,)</f>
        <v>5.5788999999999998E-2</v>
      </c>
      <c r="F5" s="161">
        <f ca="1">OFFSET(飽和表集!G5,0,10*参照飽和表!$C$1,)</f>
        <v>92.942999999999998</v>
      </c>
      <c r="G5" s="158">
        <f ca="1">OFFSET(飽和表集!H5,0,10*参照飽和表!$C$1,)</f>
        <v>432.68</v>
      </c>
      <c r="H5" s="159">
        <f ca="1">OFFSET(飽和表集!I5,0,10*参照飽和表!$C$1,)</f>
        <v>0.57940000000000003</v>
      </c>
      <c r="I5" s="158">
        <f ca="1">OFFSET(飽和表集!J5,0,10*参照飽和表!$C$1,)</f>
        <v>2.1017999999999999</v>
      </c>
      <c r="K5" s="40" t="s">
        <v>102</v>
      </c>
      <c r="L5" s="41">
        <v>2</v>
      </c>
      <c r="M5" s="42">
        <v>81.2</v>
      </c>
      <c r="N5" s="42">
        <v>14.6</v>
      </c>
      <c r="O5" s="43">
        <v>139</v>
      </c>
      <c r="P5" s="43">
        <v>12.5</v>
      </c>
    </row>
    <row r="6" spans="1:16" x14ac:dyDescent="0.4">
      <c r="A6" s="45">
        <f ca="1">OFFSET(飽和表集!B6,0,10*参照飽和表!$C$1,)</f>
        <v>-49</v>
      </c>
      <c r="B6" s="162">
        <f ca="1">OFFSET(飽和表集!C6,0,10*参照飽和表!$C$1,)</f>
        <v>0.71048999999999995</v>
      </c>
      <c r="C6" s="163">
        <f ca="1">OFFSET(飽和表集!D6,0,10*参照飽和表!$C$1,)</f>
        <v>0</v>
      </c>
      <c r="D6" s="162">
        <f ca="1">OFFSET(飽和表集!E6,0,10*参照飽和表!$C$1,)</f>
        <v>8.6890000000000003E-4</v>
      </c>
      <c r="E6" s="163">
        <f ca="1">OFFSET(飽和表集!F6,0,10*参照飽和表!$C$1,)</f>
        <v>5.3654E-2</v>
      </c>
      <c r="F6" s="164">
        <f ca="1">OFFSET(飽和表集!G6,0,10*参照飽和表!$C$1,)</f>
        <v>94.921999999999997</v>
      </c>
      <c r="G6" s="165">
        <f ca="1">OFFSET(飽和表集!H6,0,10*参照飽和表!$C$1,)</f>
        <v>432.99</v>
      </c>
      <c r="H6" s="164">
        <f ca="1">OFFSET(飽和表集!I6,0,10*参照飽和表!$C$1,)</f>
        <v>0.58809999999999996</v>
      </c>
      <c r="I6" s="165">
        <f ca="1">OFFSET(飽和表集!J6,0,10*参照飽和表!$C$1,)</f>
        <v>2.0962999999999998</v>
      </c>
      <c r="K6" s="40" t="s">
        <v>103</v>
      </c>
      <c r="L6" s="41">
        <v>3</v>
      </c>
      <c r="M6" s="42"/>
      <c r="N6" s="42"/>
      <c r="O6" s="43"/>
      <c r="P6" s="43"/>
    </row>
    <row r="7" spans="1:16" x14ac:dyDescent="0.4">
      <c r="A7" s="44">
        <f ca="1">OFFSET(飽和表集!B7,0,10*参照飽和表!$C$1,)</f>
        <v>-48</v>
      </c>
      <c r="B7" s="157">
        <f ca="1">OFFSET(飽和表集!C7,0,10*参照飽和表!$C$1,)</f>
        <v>0.73948999999999998</v>
      </c>
      <c r="C7" s="158">
        <f ca="1">OFFSET(飽和表集!D7,0,10*参照飽和表!$C$1,)</f>
        <v>0</v>
      </c>
      <c r="D7" s="159">
        <f ca="1">OFFSET(飽和表集!E7,0,10*参照飽和表!$C$1,)</f>
        <v>8.7180000000000005E-4</v>
      </c>
      <c r="E7" s="160">
        <f ca="1">OFFSET(飽和表集!F7,0,10*参照飽和表!$C$1,)</f>
        <v>5.1617999999999997E-2</v>
      </c>
      <c r="F7" s="161">
        <f ca="1">OFFSET(飽和表集!G7,0,10*参照飽和表!$C$1,)</f>
        <v>96.905000000000001</v>
      </c>
      <c r="G7" s="158">
        <f ca="1">OFFSET(飽和表集!H7,0,10*参照飽和表!$C$1,)</f>
        <v>433.29</v>
      </c>
      <c r="H7" s="159">
        <f ca="1">OFFSET(飽和表集!I7,0,10*参照飽和表!$C$1,)</f>
        <v>0.5968</v>
      </c>
      <c r="I7" s="158">
        <f ca="1">OFFSET(飽和表集!J7,0,10*参照飽和表!$C$1,)</f>
        <v>2.0909</v>
      </c>
      <c r="K7" s="40" t="s">
        <v>104</v>
      </c>
      <c r="L7" s="41">
        <v>4</v>
      </c>
      <c r="M7" s="42"/>
      <c r="N7" s="42"/>
      <c r="O7" s="43"/>
      <c r="P7" s="43"/>
    </row>
    <row r="8" spans="1:16" x14ac:dyDescent="0.4">
      <c r="A8" s="45">
        <f ca="1">OFFSET(飽和表集!B8,0,10*参照飽和表!$C$1,)</f>
        <v>-47</v>
      </c>
      <c r="B8" s="162">
        <f ca="1">OFFSET(飽和表集!C8,0,10*参照飽和表!$C$1,)</f>
        <v>0.76937</v>
      </c>
      <c r="C8" s="163">
        <f ca="1">OFFSET(飽和表集!D8,0,10*参照飽和表!$C$1,)</f>
        <v>0</v>
      </c>
      <c r="D8" s="162">
        <f ca="1">OFFSET(飽和表集!E8,0,10*参照飽和表!$C$1,)</f>
        <v>8.7460000000000001E-4</v>
      </c>
      <c r="E8" s="163">
        <f ca="1">OFFSET(飽和表集!F8,0,10*参照飽和表!$C$1,)</f>
        <v>4.9674000000000003E-2</v>
      </c>
      <c r="F8" s="164">
        <f ca="1">OFFSET(飽和表集!G8,0,10*参照飽和表!$C$1,)</f>
        <v>98.891000000000005</v>
      </c>
      <c r="G8" s="165">
        <f ca="1">OFFSET(飽和表集!H8,0,10*参照飽和表!$C$1,)</f>
        <v>433.58</v>
      </c>
      <c r="H8" s="164">
        <f ca="1">OFFSET(飽和表集!I8,0,10*参照飽和表!$C$1,)</f>
        <v>0.60550000000000004</v>
      </c>
      <c r="I8" s="165">
        <f ca="1">OFFSET(飽和表集!J8,0,10*参照飽和表!$C$1,)</f>
        <v>2.0855000000000001</v>
      </c>
      <c r="K8" s="46" t="s">
        <v>105</v>
      </c>
      <c r="L8" s="47">
        <v>5</v>
      </c>
      <c r="M8" s="48"/>
      <c r="N8" s="48"/>
      <c r="O8" s="49"/>
      <c r="P8" s="49"/>
    </row>
    <row r="9" spans="1:16" x14ac:dyDescent="0.4">
      <c r="A9" s="44">
        <f ca="1">OFFSET(飽和表集!B9,0,10*参照飽和表!$C$1,)</f>
        <v>-46</v>
      </c>
      <c r="B9" s="157">
        <f ca="1">OFFSET(飽和表集!C9,0,10*参照飽和表!$C$1,)</f>
        <v>0.80015000000000003</v>
      </c>
      <c r="C9" s="158">
        <f ca="1">OFFSET(飽和表集!D9,0,10*参照飽和表!$C$1,)</f>
        <v>0</v>
      </c>
      <c r="D9" s="159">
        <f ca="1">OFFSET(飽和表集!E9,0,10*参照飽和表!$C$1,)</f>
        <v>8.7750000000000002E-4</v>
      </c>
      <c r="E9" s="160">
        <f ca="1">OFFSET(飽和表集!F9,0,10*参照飽和表!$C$1,)</f>
        <v>4.7819E-2</v>
      </c>
      <c r="F9" s="161">
        <f ca="1">OFFSET(飽和表集!G9,0,10*参照飽和表!$C$1,)</f>
        <v>100.88</v>
      </c>
      <c r="G9" s="158">
        <f ca="1">OFFSET(飽和表集!H9,0,10*参照飽和表!$C$1,)</f>
        <v>433.86</v>
      </c>
      <c r="H9" s="159">
        <f ca="1">OFFSET(飽和表集!I9,0,10*参照飽和表!$C$1,)</f>
        <v>0.61419999999999997</v>
      </c>
      <c r="I9" s="158">
        <f ca="1">OFFSET(飽和表集!J9,0,10*参照飽和表!$C$1,)</f>
        <v>2.0800999999999998</v>
      </c>
    </row>
    <row r="10" spans="1:16" x14ac:dyDescent="0.4">
      <c r="A10" s="45">
        <f ca="1">OFFSET(飽和表集!B10,0,10*参照飽和表!$C$1,)</f>
        <v>-45</v>
      </c>
      <c r="B10" s="162">
        <f ca="1">OFFSET(飽和表集!C10,0,10*参照飽和表!$C$1,)</f>
        <v>0.83184000000000002</v>
      </c>
      <c r="C10" s="163">
        <f ca="1">OFFSET(飽和表集!D10,0,10*参照飽和表!$C$1,)</f>
        <v>0</v>
      </c>
      <c r="D10" s="162">
        <f ca="1">OFFSET(飽和表集!E10,0,10*参照飽和表!$C$1,)</f>
        <v>8.8049999999999999E-4</v>
      </c>
      <c r="E10" s="163">
        <f ca="1">OFFSET(飽和表集!F10,0,10*参照飽和表!$C$1,)</f>
        <v>4.6045999999999997E-2</v>
      </c>
      <c r="F10" s="164">
        <f ca="1">OFFSET(飽和表集!G10,0,10*参照飽和表!$C$1,)</f>
        <v>102.87</v>
      </c>
      <c r="G10" s="165">
        <f ca="1">OFFSET(飽和表集!H10,0,10*参照飽和表!$C$1,)</f>
        <v>434.13</v>
      </c>
      <c r="H10" s="164">
        <f ca="1">OFFSET(飽和表集!I10,0,10*参照飽和表!$C$1,)</f>
        <v>0.62280000000000002</v>
      </c>
      <c r="I10" s="165">
        <f ca="1">OFFSET(飽和表集!J10,0,10*参照飽和表!$C$1,)</f>
        <v>2.0747</v>
      </c>
    </row>
    <row r="11" spans="1:16" x14ac:dyDescent="0.4">
      <c r="A11" s="44">
        <f ca="1">OFFSET(飽和表集!B11,0,10*参照飽和表!$C$1,)</f>
        <v>-44</v>
      </c>
      <c r="B11" s="157">
        <f ca="1">OFFSET(飽和表集!C11,0,10*参照飽和表!$C$1,)</f>
        <v>0.86445000000000005</v>
      </c>
      <c r="C11" s="158">
        <f ca="1">OFFSET(飽和表集!D11,0,10*参照飽和表!$C$1,)</f>
        <v>0</v>
      </c>
      <c r="D11" s="159">
        <f ca="1">OFFSET(飽和表集!E11,0,10*参照飽和表!$C$1,)</f>
        <v>8.8340000000000001E-4</v>
      </c>
      <c r="E11" s="160">
        <f ca="1">OFFSET(飽和表集!F11,0,10*参照飽和表!$C$1,)</f>
        <v>4.4352000000000003E-2</v>
      </c>
      <c r="F11" s="161">
        <f ca="1">OFFSET(飽和表集!G11,0,10*参照飽和表!$C$1,)</f>
        <v>104.87</v>
      </c>
      <c r="G11" s="158">
        <f ca="1">OFFSET(飽和表集!H11,0,10*参照飽和表!$C$1,)</f>
        <v>434.39</v>
      </c>
      <c r="H11" s="159">
        <f ca="1">OFFSET(飽和表集!I11,0,10*参照飽和表!$C$1,)</f>
        <v>0.63139999999999996</v>
      </c>
      <c r="I11" s="158">
        <f ca="1">OFFSET(飽和表集!J11,0,10*参照飽和表!$C$1,)</f>
        <v>2.0693999999999999</v>
      </c>
    </row>
    <row r="12" spans="1:16" x14ac:dyDescent="0.4">
      <c r="A12" s="45">
        <f ca="1">OFFSET(飽和表集!B12,0,10*参照飽和表!$C$1,)</f>
        <v>-43</v>
      </c>
      <c r="B12" s="162">
        <f ca="1">OFFSET(飽和表集!C12,0,10*参照飽和表!$C$1,)</f>
        <v>0.89800000000000002</v>
      </c>
      <c r="C12" s="163">
        <f ca="1">OFFSET(飽和表集!D12,0,10*参照飽和表!$C$1,)</f>
        <v>0</v>
      </c>
      <c r="D12" s="162">
        <f ca="1">OFFSET(飽和表集!E12,0,10*参照飽和表!$C$1,)</f>
        <v>8.8639999999999997E-4</v>
      </c>
      <c r="E12" s="163">
        <f ca="1">OFFSET(飽和表集!F12,0,10*参照飽和表!$C$1,)</f>
        <v>4.2733E-2</v>
      </c>
      <c r="F12" s="164">
        <f ca="1">OFFSET(飽和表集!G12,0,10*参照飽和表!$C$1,)</f>
        <v>106.87</v>
      </c>
      <c r="G12" s="165">
        <f ca="1">OFFSET(飽和表集!H12,0,10*参照飽和表!$C$1,)</f>
        <v>434.64</v>
      </c>
      <c r="H12" s="164">
        <f ca="1">OFFSET(飽和表集!I12,0,10*参照飽和表!$C$1,)</f>
        <v>0.64</v>
      </c>
      <c r="I12" s="165">
        <f ca="1">OFFSET(飽和表集!J12,0,10*参照飽和表!$C$1,)</f>
        <v>2.0642</v>
      </c>
    </row>
    <row r="13" spans="1:16" x14ac:dyDescent="0.4">
      <c r="A13" s="44">
        <f ca="1">OFFSET(飽和表集!B13,0,10*参照飽和表!$C$1,)</f>
        <v>-42</v>
      </c>
      <c r="B13" s="157">
        <f ca="1">OFFSET(飽和表集!C13,0,10*参照飽和表!$C$1,)</f>
        <v>0.93252000000000002</v>
      </c>
      <c r="C13" s="158">
        <f ca="1">OFFSET(飽和表集!D13,0,10*参照飽和表!$C$1,)</f>
        <v>0</v>
      </c>
      <c r="D13" s="159">
        <f ca="1">OFFSET(飽和表集!E13,0,10*参照飽和表!$C$1,)</f>
        <v>8.8949999999999999E-4</v>
      </c>
      <c r="E13" s="160">
        <f ca="1">OFFSET(飽和表集!F13,0,10*参照飽和表!$C$1,)</f>
        <v>4.1183999999999998E-2</v>
      </c>
      <c r="F13" s="161">
        <f ca="1">OFFSET(飽和表集!G13,0,10*参照飽和表!$C$1,)</f>
        <v>108.88</v>
      </c>
      <c r="G13" s="158">
        <f ca="1">OFFSET(飽和表集!H13,0,10*参照飽和表!$C$1,)</f>
        <v>434.88</v>
      </c>
      <c r="H13" s="159">
        <f ca="1">OFFSET(飽和表集!I13,0,10*参照飽和表!$C$1,)</f>
        <v>0.64859999999999995</v>
      </c>
      <c r="I13" s="158">
        <f ca="1">OFFSET(飽和表集!J13,0,10*参照飽和表!$C$1,)</f>
        <v>2.0589</v>
      </c>
    </row>
    <row r="14" spans="1:16" x14ac:dyDescent="0.4">
      <c r="A14" s="45">
        <f ca="1">OFFSET(飽和表集!B14,0,10*参照飽和表!$C$1,)</f>
        <v>-41</v>
      </c>
      <c r="B14" s="162">
        <f ca="1">OFFSET(飽和表集!C14,0,10*参照飽和表!$C$1,)</f>
        <v>0.96801000000000004</v>
      </c>
      <c r="C14" s="163">
        <f ca="1">OFFSET(飽和表集!D14,0,10*参照飽和表!$C$1,)</f>
        <v>0</v>
      </c>
      <c r="D14" s="162">
        <f ca="1">OFFSET(飽和表集!E14,0,10*参照飽和表!$C$1,)</f>
        <v>8.9260000000000001E-4</v>
      </c>
      <c r="E14" s="163">
        <f ca="1">OFFSET(飽和表集!F14,0,10*参照飽和表!$C$1,)</f>
        <v>3.9702000000000001E-2</v>
      </c>
      <c r="F14" s="164">
        <f ca="1">OFFSET(飽和表集!G14,0,10*参照飽和表!$C$1,)</f>
        <v>110.89</v>
      </c>
      <c r="G14" s="165">
        <f ca="1">OFFSET(飽和表集!H14,0,10*参照飽和表!$C$1,)</f>
        <v>435.11</v>
      </c>
      <c r="H14" s="164">
        <f ca="1">OFFSET(飽和表集!I14,0,10*参照飽和表!$C$1,)</f>
        <v>0.64710000000000001</v>
      </c>
      <c r="I14" s="165">
        <f ca="1">OFFSET(飽和表集!J14,0,10*参照飽和表!$C$1,)</f>
        <v>2.0537000000000001</v>
      </c>
    </row>
    <row r="15" spans="1:16" x14ac:dyDescent="0.4">
      <c r="A15" s="44">
        <f ca="1">OFFSET(飽和表集!B15,0,10*参照飽和表!$C$1,)</f>
        <v>-40</v>
      </c>
      <c r="B15" s="157">
        <f ca="1">OFFSET(飽和表集!C15,0,10*参照飽和表!$C$1,)</f>
        <v>1.0044999999999999</v>
      </c>
      <c r="C15" s="158">
        <f ca="1">OFFSET(飽和表集!D15,0,10*参照飽和表!$C$1,)</f>
        <v>0</v>
      </c>
      <c r="D15" s="159">
        <f ca="1">OFFSET(飽和表集!E15,0,10*参照飽和表!$C$1,)</f>
        <v>8.9570000000000003E-4</v>
      </c>
      <c r="E15" s="160">
        <f ca="1">OFFSET(飽和表集!F15,0,10*参照飽和表!$C$1,)</f>
        <v>3.8283999999999999E-2</v>
      </c>
      <c r="F15" s="161">
        <f ca="1">OFFSET(飽和表集!G15,0,10*参照飽和表!$C$1,)</f>
        <v>112.9</v>
      </c>
      <c r="G15" s="158">
        <f ca="1">OFFSET(飽和表集!H15,0,10*参照飽和表!$C$1,)</f>
        <v>435.32</v>
      </c>
      <c r="H15" s="159">
        <f ca="1">OFFSET(飽和表集!I15,0,10*参照飽和表!$C$1,)</f>
        <v>0.66559999999999997</v>
      </c>
      <c r="I15" s="158">
        <f ca="1">OFFSET(飽和表集!J15,0,10*参照飽和表!$C$1,)</f>
        <v>2.0485000000000002</v>
      </c>
    </row>
    <row r="16" spans="1:16" x14ac:dyDescent="0.4">
      <c r="A16" s="45">
        <f ca="1">OFFSET(飽和表集!B16,0,10*参照飽和表!$C$1,)</f>
        <v>-39</v>
      </c>
      <c r="B16" s="162">
        <f ca="1">OFFSET(飽和表集!C16,0,10*参照飽和表!$C$1,)</f>
        <v>1.042</v>
      </c>
      <c r="C16" s="163">
        <f ca="1">OFFSET(飽和表集!D16,0,10*参照飽和表!$C$1,)</f>
        <v>0</v>
      </c>
      <c r="D16" s="162">
        <f ca="1">OFFSET(飽和表集!E16,0,10*参照飽和表!$C$1,)</f>
        <v>8.989E-4</v>
      </c>
      <c r="E16" s="163">
        <f ca="1">OFFSET(飽和表集!F16,0,10*参照飽和表!$C$1,)</f>
        <v>3.6924999999999999E-2</v>
      </c>
      <c r="F16" s="164">
        <f ca="1">OFFSET(飽和表集!G16,0,10*参照飽和表!$C$1,)</f>
        <v>114.92</v>
      </c>
      <c r="G16" s="165">
        <f ca="1">OFFSET(飽和表集!H16,0,10*参照飽和表!$C$1,)</f>
        <v>435.53</v>
      </c>
      <c r="H16" s="164">
        <f ca="1">OFFSET(飽和表集!I16,0,10*参照飽和表!$C$1,)</f>
        <v>0.67410000000000003</v>
      </c>
      <c r="I16" s="165">
        <f ca="1">OFFSET(飽和表集!J16,0,10*参照飽和表!$C$1,)</f>
        <v>2.0434000000000001</v>
      </c>
    </row>
    <row r="17" spans="1:9" x14ac:dyDescent="0.4">
      <c r="A17" s="44">
        <f ca="1">OFFSET(飽和表集!B17,0,10*参照飽和表!$C$1,)</f>
        <v>-38</v>
      </c>
      <c r="B17" s="157">
        <f ca="1">OFFSET(飽和表集!C17,0,10*参照飽和表!$C$1,)</f>
        <v>1.0805</v>
      </c>
      <c r="C17" s="158">
        <f ca="1">OFFSET(飽和表集!D17,0,10*参照飽和表!$C$1,)</f>
        <v>0</v>
      </c>
      <c r="D17" s="159">
        <f ca="1">OFFSET(飽和表集!E17,0,10*参照飽和表!$C$1,)</f>
        <v>9.0209999999999997E-4</v>
      </c>
      <c r="E17" s="160">
        <f ca="1">OFFSET(飽和表集!F17,0,10*参照飽和表!$C$1,)</f>
        <v>3.5624000000000003E-2</v>
      </c>
      <c r="F17" s="161">
        <f ca="1">OFFSET(飽和表集!G17,0,10*参照飽和表!$C$1,)</f>
        <v>116.95</v>
      </c>
      <c r="G17" s="158">
        <f ca="1">OFFSET(飽和表集!H17,0,10*参照飽和表!$C$1,)</f>
        <v>435.72</v>
      </c>
      <c r="H17" s="159">
        <f ca="1">OFFSET(飽和表集!I17,0,10*参照飽和表!$C$1,)</f>
        <v>0.68259999999999998</v>
      </c>
      <c r="I17" s="158">
        <f ca="1">OFFSET(飽和表集!J17,0,10*参照飽和表!$C$1,)</f>
        <v>2.0381999999999998</v>
      </c>
    </row>
    <row r="18" spans="1:9" x14ac:dyDescent="0.4">
      <c r="A18" s="45">
        <f ca="1">OFFSET(飽和表集!B18,0,10*参照飽和表!$C$1,)</f>
        <v>-37</v>
      </c>
      <c r="B18" s="162">
        <f ca="1">OFFSET(飽和表集!C18,0,10*参照飽和表!$C$1,)</f>
        <v>1.1201000000000001</v>
      </c>
      <c r="C18" s="163">
        <f ca="1">OFFSET(飽和表集!D18,0,10*参照飽和表!$C$1,)</f>
        <v>0</v>
      </c>
      <c r="D18" s="162">
        <f ca="1">OFFSET(飽和表集!E18,0,10*参照飽和表!$C$1,)</f>
        <v>9.054E-4</v>
      </c>
      <c r="E18" s="163">
        <f ca="1">OFFSET(飽和表集!F18,0,10*参照飽和表!$C$1,)</f>
        <v>3.4376999999999998E-2</v>
      </c>
      <c r="F18" s="164">
        <f ca="1">OFFSET(飽和表集!G18,0,10*参照飽和表!$C$1,)</f>
        <v>118.98</v>
      </c>
      <c r="G18" s="165">
        <f ca="1">OFFSET(飽和表集!H18,0,10*参照飽和表!$C$1,)</f>
        <v>435.9</v>
      </c>
      <c r="H18" s="164">
        <f ca="1">OFFSET(飽和表集!I18,0,10*参照飽和表!$C$1,)</f>
        <v>0.69110000000000005</v>
      </c>
      <c r="I18" s="165">
        <f ca="1">OFFSET(飽和表集!J18,0,10*参照飽和表!$C$1,)</f>
        <v>2.0030999999999999</v>
      </c>
    </row>
    <row r="19" spans="1:9" x14ac:dyDescent="0.4">
      <c r="A19" s="44">
        <f ca="1">OFFSET(飽和表集!B19,0,10*参照飽和表!$C$1,)</f>
        <v>-36</v>
      </c>
      <c r="B19" s="157">
        <f ca="1">OFFSET(飽和表集!C19,0,10*参照飽和表!$C$1,)</f>
        <v>1.1607000000000001</v>
      </c>
      <c r="C19" s="158">
        <f ca="1">OFFSET(飽和表集!D19,0,10*参照飽和表!$C$1,)</f>
        <v>0</v>
      </c>
      <c r="D19" s="159">
        <f ca="1">OFFSET(飽和表集!E19,0,10*参照飽和表!$C$1,)</f>
        <v>9.0870000000000002E-4</v>
      </c>
      <c r="E19" s="160">
        <f ca="1">OFFSET(飽和表集!F19,0,10*参照飽和表!$C$1,)</f>
        <v>3.3181000000000002E-2</v>
      </c>
      <c r="F19" s="161">
        <f ca="1">OFFSET(飽和表集!G19,0,10*参照飽和表!$C$1,)</f>
        <v>121.01</v>
      </c>
      <c r="G19" s="158">
        <f ca="1">OFFSET(飽和表集!H19,0,10*参照飽和表!$C$1,)</f>
        <v>436.07</v>
      </c>
      <c r="H19" s="159">
        <f ca="1">OFFSET(飽和表集!I19,0,10*参照飽和表!$C$1,)</f>
        <v>0.69950000000000001</v>
      </c>
      <c r="I19" s="158">
        <f ca="1">OFFSET(飽和表集!J19,0,10*参照飽和表!$C$1,)</f>
        <v>2.0280999999999998</v>
      </c>
    </row>
    <row r="20" spans="1:9" x14ac:dyDescent="0.4">
      <c r="A20" s="45">
        <f ca="1">OFFSET(飽和表集!B20,0,10*参照飽和表!$C$1,)</f>
        <v>-35</v>
      </c>
      <c r="B20" s="162">
        <f ca="1">OFFSET(飽和表集!C20,0,10*参照飽和表!$C$1,)</f>
        <v>1.2023999999999999</v>
      </c>
      <c r="C20" s="163">
        <f ca="1">OFFSET(飽和表集!D20,0,10*参照飽和表!$C$1,)</f>
        <v>0</v>
      </c>
      <c r="D20" s="162">
        <f ca="1">OFFSET(飽和表集!E20,0,10*参照飽和表!$C$1,)</f>
        <v>9.1200000000000005E-4</v>
      </c>
      <c r="E20" s="163">
        <f ca="1">OFFSET(飽和表集!F20,0,10*参照飽和表!$C$1,)</f>
        <v>3.2035000000000001E-2</v>
      </c>
      <c r="F20" s="164">
        <f ca="1">OFFSET(飽和表集!G20,0,10*参照飽和表!$C$1,)</f>
        <v>123.05</v>
      </c>
      <c r="G20" s="165">
        <f ca="1">OFFSET(飽和表集!H20,0,10*参照飽和表!$C$1,)</f>
        <v>436.23</v>
      </c>
      <c r="H20" s="164">
        <f ca="1">OFFSET(飽和表集!I20,0,10*参照飽和表!$C$1,)</f>
        <v>0.70789999999999997</v>
      </c>
      <c r="I20" s="165">
        <f ca="1">OFFSET(飽和表集!J20,0,10*参照飽和表!$C$1,)</f>
        <v>2.0230000000000001</v>
      </c>
    </row>
    <row r="21" spans="1:9" x14ac:dyDescent="0.4">
      <c r="A21" s="44">
        <f ca="1">OFFSET(飽和表集!B21,0,10*参照飽和表!$C$1,)</f>
        <v>-34</v>
      </c>
      <c r="B21" s="157">
        <f ca="1">OFFSET(飽和表集!C21,0,10*参照飽和表!$C$1,)</f>
        <v>1.2452000000000001</v>
      </c>
      <c r="C21" s="158">
        <f ca="1">OFFSET(飽和表集!D21,0,10*参照飽和表!$C$1,)</f>
        <v>0</v>
      </c>
      <c r="D21" s="159">
        <f ca="1">OFFSET(飽和表集!E21,0,10*参照飽和表!$C$1,)</f>
        <v>9.1549999999999997E-4</v>
      </c>
      <c r="E21" s="160">
        <f ca="1">OFFSET(飽和表集!F21,0,10*参照飽和表!$C$1,)</f>
        <v>3.0935000000000001E-2</v>
      </c>
      <c r="F21" s="161">
        <f ca="1">OFFSET(飽和表集!G21,0,10*参照飽和表!$C$1,)</f>
        <v>125.1</v>
      </c>
      <c r="G21" s="158">
        <f ca="1">OFFSET(飽和表集!H21,0,10*参照飽和表!$C$1,)</f>
        <v>436.37</v>
      </c>
      <c r="H21" s="159">
        <f ca="1">OFFSET(飽和表集!I21,0,10*参照飽和表!$C$1,)</f>
        <v>0.71630000000000005</v>
      </c>
      <c r="I21" s="158">
        <f ca="1">OFFSET(飽和表集!J21,0,10*参照飽和表!$C$1,)</f>
        <v>2.0179999999999998</v>
      </c>
    </row>
    <row r="22" spans="1:9" x14ac:dyDescent="0.4">
      <c r="A22" s="45">
        <f ca="1">OFFSET(飽和表集!B22,0,10*参照飽和表!$C$1,)</f>
        <v>-33</v>
      </c>
      <c r="B22" s="162">
        <f ca="1">OFFSET(飽和表集!C22,0,10*参照飽和表!$C$1,)</f>
        <v>1.2890999999999999</v>
      </c>
      <c r="C22" s="163">
        <f ca="1">OFFSET(飽和表集!D22,0,10*参照飽和表!$C$1,)</f>
        <v>0</v>
      </c>
      <c r="D22" s="162">
        <f ca="1">OFFSET(飽和表集!E22,0,10*参照飽和表!$C$1,)</f>
        <v>9.1889999999999995E-4</v>
      </c>
      <c r="E22" s="163">
        <f ca="1">OFFSET(飽和表集!F22,0,10*参照飽和表!$C$1,)</f>
        <v>2.9878999999999999E-2</v>
      </c>
      <c r="F22" s="164">
        <f ca="1">OFFSET(飽和表集!G22,0,10*参照飽和表!$C$1,)</f>
        <v>127.15</v>
      </c>
      <c r="G22" s="165">
        <f ca="1">OFFSET(飽和表集!H22,0,10*参照飽和表!$C$1,)</f>
        <v>436.51</v>
      </c>
      <c r="H22" s="164">
        <f ca="1">OFFSET(飽和表集!I22,0,10*参照飽和表!$C$1,)</f>
        <v>0.7147</v>
      </c>
      <c r="I22" s="165">
        <f ca="1">OFFSET(飽和表集!J22,0,10*参照飽和表!$C$1,)</f>
        <v>2.0129000000000001</v>
      </c>
    </row>
    <row r="23" spans="1:9" x14ac:dyDescent="0.4">
      <c r="A23" s="44">
        <f ca="1">OFFSET(飽和表集!B23,0,10*参照飽和表!$C$1,)</f>
        <v>-32</v>
      </c>
      <c r="B23" s="157">
        <f ca="1">OFFSET(飽和表集!C23,0,10*参照飽和表!$C$1,)</f>
        <v>1.3342000000000001</v>
      </c>
      <c r="C23" s="158">
        <f ca="1">OFFSET(飽和表集!D23,0,10*参照飽和表!$C$1,)</f>
        <v>0</v>
      </c>
      <c r="D23" s="159">
        <f ca="1">OFFSET(飽和表集!E23,0,10*参照飽和表!$C$1,)</f>
        <v>9.2239999999999998E-4</v>
      </c>
      <c r="E23" s="160">
        <f ca="1">OFFSET(飽和表集!F23,0,10*参照飽和表!$C$1,)</f>
        <v>2.8864999999999998E-2</v>
      </c>
      <c r="F23" s="161">
        <f ca="1">OFFSET(飽和表集!G23,0,10*参照飽和表!$C$1,)</f>
        <v>129.19999999999999</v>
      </c>
      <c r="G23" s="158">
        <f ca="1">OFFSET(飽和表集!H23,0,10*参照飽和表!$C$1,)</f>
        <v>436.62</v>
      </c>
      <c r="H23" s="159">
        <f ca="1">OFFSET(飽和表集!I23,0,10*参照飽和表!$C$1,)</f>
        <v>0.73309999999999997</v>
      </c>
      <c r="I23" s="158">
        <f ca="1">OFFSET(飽和表集!J23,0,10*参照飽和表!$C$1,)</f>
        <v>2.0078999999999998</v>
      </c>
    </row>
    <row r="24" spans="1:9" x14ac:dyDescent="0.4">
      <c r="A24" s="45">
        <f ca="1">OFFSET(飽和表集!B24,0,10*参照飽和表!$C$1,)</f>
        <v>-31</v>
      </c>
      <c r="B24" s="162">
        <f ca="1">OFFSET(飽和表集!C24,0,10*参照飽和表!$C$1,)</f>
        <v>1.3804000000000001</v>
      </c>
      <c r="C24" s="163">
        <f ca="1">OFFSET(飽和表集!D24,0,10*参照飽和表!$C$1,)</f>
        <v>0</v>
      </c>
      <c r="D24" s="162">
        <f ca="1">OFFSET(飽和表集!E24,0,10*参照飽和表!$C$1,)</f>
        <v>9.2599999999999996E-4</v>
      </c>
      <c r="E24" s="163">
        <f ca="1">OFFSET(飽和表集!F24,0,10*参照飽和表!$C$1,)</f>
        <v>2.7890999999999999E-2</v>
      </c>
      <c r="F24" s="164">
        <f ca="1">OFFSET(飽和表集!G24,0,10*参照飽和表!$C$1,)</f>
        <v>131.27000000000001</v>
      </c>
      <c r="G24" s="165">
        <f ca="1">OFFSET(飽和表集!H24,0,10*参照飽和表!$C$1,)</f>
        <v>436.73</v>
      </c>
      <c r="H24" s="164">
        <f ca="1">OFFSET(飽和表集!I24,0,10*参照飽和表!$C$1,)</f>
        <v>0.74150000000000005</v>
      </c>
      <c r="I24" s="165">
        <f ca="1">OFFSET(飽和表集!J24,0,10*参照飽和表!$C$1,)</f>
        <v>2.0028999999999999</v>
      </c>
    </row>
    <row r="25" spans="1:9" x14ac:dyDescent="0.4">
      <c r="A25" s="44">
        <f ca="1">OFFSET(飽和表集!B25,0,10*参照飽和表!$C$1,)</f>
        <v>-30</v>
      </c>
      <c r="B25" s="157">
        <f ca="1">OFFSET(飽和表集!C25,0,10*参照飽和表!$C$1,)</f>
        <v>1.4278</v>
      </c>
      <c r="C25" s="158">
        <f ca="1">OFFSET(飽和表集!D25,0,10*参照飽和表!$C$1,)</f>
        <v>0</v>
      </c>
      <c r="D25" s="159">
        <f ca="1">OFFSET(飽和表集!E25,0,10*参照飽和表!$C$1,)</f>
        <v>9.2960000000000004E-4</v>
      </c>
      <c r="E25" s="160">
        <f ca="1">OFFSET(飽和表集!F25,0,10*参照飽和表!$C$1,)</f>
        <v>2.6956000000000001E-2</v>
      </c>
      <c r="F25" s="161">
        <f ca="1">OFFSET(飽和表集!G25,0,10*参照飽和表!$C$1,)</f>
        <v>133.34</v>
      </c>
      <c r="G25" s="158">
        <f ca="1">OFFSET(飽和表集!H25,0,10*参照飽和表!$C$1,)</f>
        <v>436.82</v>
      </c>
      <c r="H25" s="159">
        <f ca="1">OFFSET(飽和表集!I25,0,10*参照飽和表!$C$1,)</f>
        <v>0.74980000000000002</v>
      </c>
      <c r="I25" s="158">
        <f ca="1">OFFSET(飽和表集!J25,0,10*参照飽和表!$C$1,)</f>
        <v>1.998</v>
      </c>
    </row>
    <row r="26" spans="1:9" x14ac:dyDescent="0.4">
      <c r="A26" s="45">
        <f ca="1">OFFSET(飽和表集!B26,0,10*参照飽和表!$C$1,)</f>
        <v>-29</v>
      </c>
      <c r="B26" s="162">
        <f ca="1">OFFSET(飽和表集!C26,0,10*参照飽和表!$C$1,)</f>
        <v>1.4762999999999999</v>
      </c>
      <c r="C26" s="163">
        <f ca="1">OFFSET(飽和表集!D26,0,10*参照飽和表!$C$1,)</f>
        <v>0</v>
      </c>
      <c r="D26" s="162">
        <f ca="1">OFFSET(飽和表集!E26,0,10*参照飽和表!$C$1,)</f>
        <v>9.3329999999999997E-4</v>
      </c>
      <c r="E26" s="163">
        <f ca="1">OFFSET(飽和表集!F26,0,10*参照飽和表!$C$1,)</f>
        <v>2.6055999999999999E-2</v>
      </c>
      <c r="F26" s="164">
        <f ca="1">OFFSET(飽和表集!G26,0,10*参照飽和表!$C$1,)</f>
        <v>135.41</v>
      </c>
      <c r="G26" s="165">
        <f ca="1">OFFSET(飽和表集!H26,0,10*参照飽和表!$C$1,)</f>
        <v>436.9</v>
      </c>
      <c r="H26" s="164">
        <f ca="1">OFFSET(飽和表集!I26,0,10*参照飽和表!$C$1,)</f>
        <v>0.75819999999999999</v>
      </c>
      <c r="I26" s="165">
        <f ca="1">OFFSET(飽和表集!J26,0,10*参照飽和表!$C$1,)</f>
        <v>1.998</v>
      </c>
    </row>
    <row r="27" spans="1:9" x14ac:dyDescent="0.4">
      <c r="A27" s="44">
        <f ca="1">OFFSET(飽和表集!B27,0,10*参照飽和表!$C$1,)</f>
        <v>-28</v>
      </c>
      <c r="B27" s="157">
        <f ca="1">OFFSET(飽和表集!C27,0,10*参照飽和表!$C$1,)</f>
        <v>1.5261</v>
      </c>
      <c r="C27" s="158">
        <f ca="1">OFFSET(飽和表集!D27,0,10*参照飽和表!$C$1,)</f>
        <v>0</v>
      </c>
      <c r="D27" s="159">
        <f ca="1">OFFSET(飽和表集!E27,0,10*参照飽和表!$C$1,)</f>
        <v>9.3700000000000001E-4</v>
      </c>
      <c r="E27" s="160">
        <f ca="1">OFFSET(飽和表集!F27,0,10*参照飽和表!$C$1,)</f>
        <v>2.5191999999999999E-2</v>
      </c>
      <c r="F27" s="161">
        <f ca="1">OFFSET(飽和表集!G27,0,10*参照飽和表!$C$1,)</f>
        <v>137.5</v>
      </c>
      <c r="G27" s="158">
        <f ca="1">OFFSET(飽和表集!H27,0,10*参照飽和表!$C$1,)</f>
        <v>436.96</v>
      </c>
      <c r="H27" s="159">
        <f ca="1">OFFSET(飽和表集!I27,0,10*参照飽和表!$C$1,)</f>
        <v>0.76649999999999996</v>
      </c>
      <c r="I27" s="158">
        <f ca="1">OFFSET(飽和表集!J27,0,10*参照飽和表!$C$1,)</f>
        <v>1.988</v>
      </c>
    </row>
    <row r="28" spans="1:9" x14ac:dyDescent="0.4">
      <c r="A28" s="45">
        <f ca="1">OFFSET(飽和表集!B28,0,10*参照飽和表!$C$1,)</f>
        <v>-27</v>
      </c>
      <c r="B28" s="162">
        <f ca="1">OFFSET(飽和表集!C28,0,10*参照飽和表!$C$1,)</f>
        <v>1.577</v>
      </c>
      <c r="C28" s="163">
        <f ca="1">OFFSET(飽和表集!D28,0,10*参照飽和表!$C$1,)</f>
        <v>0</v>
      </c>
      <c r="D28" s="162">
        <f ca="1">OFFSET(飽和表集!E28,0,10*参照飽和表!$C$1,)</f>
        <v>9.4079999999999999E-4</v>
      </c>
      <c r="E28" s="163">
        <f ca="1">OFFSET(飽和表集!F28,0,10*参照飽和表!$C$1,)</f>
        <v>2.436E-2</v>
      </c>
      <c r="F28" s="164">
        <f ca="1">OFFSET(飽和表集!G28,0,10*参照飽和表!$C$1,)</f>
        <v>139.59</v>
      </c>
      <c r="G28" s="165">
        <f ca="1">OFFSET(飽和表集!H28,0,10*参照飽和表!$C$1,)</f>
        <v>437.01</v>
      </c>
      <c r="H28" s="164">
        <f ca="1">OFFSET(飽和表集!I28,0,10*参照飽和表!$C$1,)</f>
        <v>0.77480000000000004</v>
      </c>
      <c r="I28" s="165">
        <f ca="1">OFFSET(飽和表集!J28,0,10*参照飽和表!$C$1,)</f>
        <v>1.9831000000000001</v>
      </c>
    </row>
    <row r="29" spans="1:9" x14ac:dyDescent="0.4">
      <c r="A29" s="44">
        <f ca="1">OFFSET(飽和表集!B29,0,10*参照飽和表!$C$1,)</f>
        <v>-26</v>
      </c>
      <c r="B29" s="157">
        <f ca="1">OFFSET(飽和表集!C29,0,10*参照飽和表!$C$1,)</f>
        <v>1.6293</v>
      </c>
      <c r="C29" s="158">
        <f ca="1">OFFSET(飽和表集!D29,0,10*参照飽和表!$C$1,)</f>
        <v>0</v>
      </c>
      <c r="D29" s="159">
        <f ca="1">OFFSET(飽和表集!E29,0,10*参照飽和表!$C$1,)</f>
        <v>9.4470000000000003E-4</v>
      </c>
      <c r="E29" s="160">
        <f ca="1">OFFSET(飽和表集!F29,0,10*参照飽和表!$C$1,)</f>
        <v>2.3560000000000001E-2</v>
      </c>
      <c r="F29" s="161">
        <f ca="1">OFFSET(飽和表集!G29,0,10*参照飽和表!$C$1,)</f>
        <v>141.69</v>
      </c>
      <c r="G29" s="158">
        <f ca="1">OFFSET(飽和表集!H29,0,10*参照飽和表!$C$1,)</f>
        <v>437.04</v>
      </c>
      <c r="H29" s="159">
        <f ca="1">OFFSET(飽和表集!I29,0,10*参照飽和表!$C$1,)</f>
        <v>0.78310000000000002</v>
      </c>
      <c r="I29" s="158">
        <f ca="1">OFFSET(飽和表集!J29,0,10*参照飽和表!$C$1,)</f>
        <v>1.9781</v>
      </c>
    </row>
    <row r="30" spans="1:9" x14ac:dyDescent="0.4">
      <c r="A30" s="45">
        <f ca="1">OFFSET(飽和表集!B30,0,10*参照飽和表!$C$1,)</f>
        <v>-25</v>
      </c>
      <c r="B30" s="162">
        <f ca="1">OFFSET(飽和表集!C30,0,10*参照飽和表!$C$1,)</f>
        <v>1.6827000000000001</v>
      </c>
      <c r="C30" s="163">
        <f ca="1">OFFSET(飽和表集!D30,0,10*参照飽和表!$C$1,)</f>
        <v>0</v>
      </c>
      <c r="D30" s="162">
        <f ca="1">OFFSET(飽和表集!E30,0,10*参照飽和表!$C$1,)</f>
        <v>9.4859999999999996E-4</v>
      </c>
      <c r="E30" s="163">
        <f ca="1">OFFSET(飽和表集!F30,0,10*参照飽和表!$C$1,)</f>
        <v>2.2789E-2</v>
      </c>
      <c r="F30" s="164">
        <f ca="1">OFFSET(飽和表集!G30,0,10*参照飽和表!$C$1,)</f>
        <v>143.79</v>
      </c>
      <c r="G30" s="165">
        <f ca="1">OFFSET(飽和表集!H30,0,10*参照飽和表!$C$1,)</f>
        <v>437.06</v>
      </c>
      <c r="H30" s="164">
        <f ca="1">OFFSET(飽和表集!I30,0,10*参照飽和表!$C$1,)</f>
        <v>0.79139999999999999</v>
      </c>
      <c r="I30" s="165">
        <f ca="1">OFFSET(飽和表集!J30,0,10*参照飽和表!$C$1,)</f>
        <v>1.9732000000000001</v>
      </c>
    </row>
    <row r="31" spans="1:9" x14ac:dyDescent="0.4">
      <c r="A31" s="44">
        <f ca="1">OFFSET(飽和表集!B31,0,10*参照飽和表!$C$1,)</f>
        <v>-24</v>
      </c>
      <c r="B31" s="157">
        <f ca="1">OFFSET(飽和表集!C31,0,10*参照飽和表!$C$1,)</f>
        <v>1.7375</v>
      </c>
      <c r="C31" s="158">
        <f ca="1">OFFSET(飽和表集!D31,0,10*参照飽和表!$C$1,)</f>
        <v>0</v>
      </c>
      <c r="D31" s="159">
        <f ca="1">OFFSET(飽和表集!E31,0,10*参照飽和表!$C$1,)</f>
        <v>9.5259999999999995E-4</v>
      </c>
      <c r="E31" s="160">
        <f ca="1">OFFSET(飽和表集!F31,0,10*参照飽和表!$C$1,)</f>
        <v>2.2048000000000002E-2</v>
      </c>
      <c r="F31" s="161">
        <f ca="1">OFFSET(飽和表集!G31,0,10*参照飽和表!$C$1,)</f>
        <v>145.91</v>
      </c>
      <c r="G31" s="158">
        <f ca="1">OFFSET(飽和表集!H31,0,10*参照飽和表!$C$1,)</f>
        <v>437.06</v>
      </c>
      <c r="H31" s="159">
        <f ca="1">OFFSET(飽和表集!I31,0,10*参照飽和表!$C$1,)</f>
        <v>0.79969999999999997</v>
      </c>
      <c r="I31" s="158">
        <f ca="1">OFFSET(飽和表集!J31,0,10*参照飽和表!$C$1,)</f>
        <v>1.9682999999999999</v>
      </c>
    </row>
    <row r="32" spans="1:9" x14ac:dyDescent="0.4">
      <c r="A32" s="45">
        <f ca="1">OFFSET(飽和表集!B32,0,10*参照飽和表!$C$1,)</f>
        <v>-23</v>
      </c>
      <c r="B32" s="162">
        <f ca="1">OFFSET(飽和表集!C32,0,10*参照飽和表!$C$1,)</f>
        <v>1.7935000000000001</v>
      </c>
      <c r="C32" s="163">
        <f ca="1">OFFSET(飽和表集!D32,0,10*参照飽和表!$C$1,)</f>
        <v>0</v>
      </c>
      <c r="D32" s="162">
        <f ca="1">OFFSET(飽和表集!E32,0,10*参照飽和表!$C$1,)</f>
        <v>9.567E-4</v>
      </c>
      <c r="E32" s="163">
        <f ca="1">OFFSET(飽和表集!F32,0,10*参照飽和表!$C$1,)</f>
        <v>2.1333999999999999E-2</v>
      </c>
      <c r="F32" s="164">
        <f ca="1">OFFSET(飽和表集!G32,0,10*参照飽和表!$C$1,)</f>
        <v>148.03</v>
      </c>
      <c r="G32" s="165">
        <f ca="1">OFFSET(飽和表集!H32,0,10*参照飽和表!$C$1,)</f>
        <v>437.04</v>
      </c>
      <c r="H32" s="164">
        <f ca="1">OFFSET(飽和表集!I32,0,10*参照飽和表!$C$1,)</f>
        <v>0.80800000000000005</v>
      </c>
      <c r="I32" s="165">
        <f ca="1">OFFSET(飽和表集!J32,0,10*参照飽和表!$C$1,)</f>
        <v>1.9633</v>
      </c>
    </row>
    <row r="33" spans="1:9" x14ac:dyDescent="0.4">
      <c r="A33" s="44">
        <f ca="1">OFFSET(飽和表集!B33,0,10*参照飽和表!$C$1,)</f>
        <v>-22</v>
      </c>
      <c r="B33" s="157">
        <f ca="1">OFFSET(飽和表集!C33,0,10*参照飽和表!$C$1,)</f>
        <v>1.8509</v>
      </c>
      <c r="C33" s="158">
        <f ca="1">OFFSET(飽和表集!D33,0,10*参照飽和表!$C$1,)</f>
        <v>0</v>
      </c>
      <c r="D33" s="159">
        <f ca="1">OFFSET(飽和表集!E33,0,10*参照飽和表!$C$1,)</f>
        <v>9.6080000000000004E-4</v>
      </c>
      <c r="E33" s="160">
        <f ca="1">OFFSET(飽和表集!F33,0,10*参照飽和表!$C$1,)</f>
        <v>2.0645E-2</v>
      </c>
      <c r="F33" s="161">
        <f ca="1">OFFSET(飽和表集!G33,0,10*参照飽和表!$C$1,)</f>
        <v>150.16</v>
      </c>
      <c r="G33" s="158">
        <f ca="1">OFFSET(飽和表集!H33,0,10*参照飽和表!$C$1,)</f>
        <v>437.01</v>
      </c>
      <c r="H33" s="159">
        <f ca="1">OFFSET(飽和表集!I33,0,10*参照飽和表!$C$1,)</f>
        <v>0.81630000000000003</v>
      </c>
      <c r="I33" s="158">
        <f ca="1">OFFSET(飽和表集!J33,0,10*参照飽和表!$C$1,)</f>
        <v>1.9583999999999999</v>
      </c>
    </row>
    <row r="34" spans="1:9" x14ac:dyDescent="0.4">
      <c r="A34" s="45">
        <f ca="1">OFFSET(飽和表集!B34,0,10*参照飽和表!$C$1,)</f>
        <v>-21</v>
      </c>
      <c r="B34" s="162">
        <f ca="1">OFFSET(飽和表集!C34,0,10*参照飽和表!$C$1,)</f>
        <v>1.9096</v>
      </c>
      <c r="C34" s="163">
        <f ca="1">OFFSET(飽和表集!D34,0,10*参照飽和表!$C$1,)</f>
        <v>0</v>
      </c>
      <c r="D34" s="162">
        <f ca="1">OFFSET(飽和表集!E34,0,10*参照飽和表!$C$1,)</f>
        <v>9.6500000000000004E-4</v>
      </c>
      <c r="E34" s="163">
        <f ca="1">OFFSET(飽和表集!F34,0,10*参照飽和表!$C$1,)</f>
        <v>1.9982E-2</v>
      </c>
      <c r="F34" s="164">
        <f ca="1">OFFSET(飽和表集!G34,0,10*参照飽和表!$C$1,)</f>
        <v>152.30000000000001</v>
      </c>
      <c r="G34" s="165">
        <f ca="1">OFFSET(飽和表集!H34,0,10*参照飽和表!$C$1,)</f>
        <v>436.96</v>
      </c>
      <c r="H34" s="164">
        <f ca="1">OFFSET(飽和表集!I34,0,10*参照飽和表!$C$1,)</f>
        <v>0.8246</v>
      </c>
      <c r="I34" s="165">
        <f ca="1">OFFSET(飽和表集!J34,0,10*参照飽和表!$C$1,)</f>
        <v>1.9535</v>
      </c>
    </row>
    <row r="35" spans="1:9" x14ac:dyDescent="0.4">
      <c r="A35" s="44">
        <f ca="1">OFFSET(飽和表集!B35,0,10*参照飽和表!$C$1,)</f>
        <v>-20</v>
      </c>
      <c r="B35" s="157">
        <f ca="1">OFFSET(飽和表集!C35,0,10*参照飽和表!$C$1,)</f>
        <v>1.9696</v>
      </c>
      <c r="C35" s="158">
        <f ca="1">OFFSET(飽和表集!D35,0,10*参照飽和表!$C$1,)</f>
        <v>0</v>
      </c>
      <c r="D35" s="159">
        <f ca="1">OFFSET(飽和表集!E35,0,10*参照飽和表!$C$1,)</f>
        <v>9.6929999999999998E-4</v>
      </c>
      <c r="E35" s="160">
        <f ca="1">OFFSET(飽和表集!F35,0,10*参照飽和表!$C$1,)</f>
        <v>1.9342999999999999E-2</v>
      </c>
      <c r="F35" s="161">
        <f ca="1">OFFSET(飽和表集!G35,0,10*参照飽和表!$C$1,)</f>
        <v>154.44999999999999</v>
      </c>
      <c r="G35" s="158">
        <f ca="1">OFFSET(飽和表集!H35,0,10*参照飽和表!$C$1,)</f>
        <v>436.89</v>
      </c>
      <c r="H35" s="159">
        <f ca="1">OFFSET(飽和表集!I35,0,10*参照飽和表!$C$1,)</f>
        <v>0.83279999999999998</v>
      </c>
      <c r="I35" s="158">
        <f ca="1">OFFSET(飽和表集!J35,0,10*参照飽和表!$C$1,)</f>
        <v>1.9484999999999999</v>
      </c>
    </row>
    <row r="36" spans="1:9" x14ac:dyDescent="0.4">
      <c r="A36" s="45">
        <f ca="1">OFFSET(飽和表集!B36,0,10*参照飽和表!$C$1,)</f>
        <v>-19</v>
      </c>
      <c r="B36" s="162">
        <f ca="1">OFFSET(飽和表集!C36,0,10*参照飽和表!$C$1,)</f>
        <v>2.0310000000000001</v>
      </c>
      <c r="C36" s="163">
        <f ca="1">OFFSET(飽和表集!D36,0,10*参照飽和表!$C$1,)</f>
        <v>0</v>
      </c>
      <c r="D36" s="162">
        <f ca="1">OFFSET(飽和表集!E36,0,10*参照飽和表!$C$1,)</f>
        <v>9.7369999999999998E-4</v>
      </c>
      <c r="E36" s="163">
        <f ca="1">OFFSET(飽和表集!F36,0,10*参照飽和表!$C$1,)</f>
        <v>1.8726E-2</v>
      </c>
      <c r="F36" s="164">
        <f ca="1">OFFSET(飽和表集!G36,0,10*参照飽和表!$C$1,)</f>
        <v>156.61000000000001</v>
      </c>
      <c r="G36" s="165">
        <f ca="1">OFFSET(飽和表集!H36,0,10*参照飽和表!$C$1,)</f>
        <v>436.81</v>
      </c>
      <c r="H36" s="164">
        <f ca="1">OFFSET(飽和表集!I36,0,10*参照飽和表!$C$1,)</f>
        <v>0.84109999999999996</v>
      </c>
      <c r="I36" s="165">
        <f ca="1">OFFSET(飽和表集!J36,0,10*参照飽和表!$C$1,)</f>
        <v>1.9436</v>
      </c>
    </row>
    <row r="37" spans="1:9" x14ac:dyDescent="0.4">
      <c r="A37" s="44">
        <f ca="1">OFFSET(飽和表集!B37,0,10*参照飽和表!$C$1,)</f>
        <v>-18</v>
      </c>
      <c r="B37" s="157">
        <f ca="1">OFFSET(飽和表集!C37,0,10*参照飽和表!$C$1,)</f>
        <v>2.0937999999999999</v>
      </c>
      <c r="C37" s="158">
        <f ca="1">OFFSET(飽和表集!D37,0,10*参照飽和表!$C$1,)</f>
        <v>0</v>
      </c>
      <c r="D37" s="159">
        <f ca="1">OFFSET(飽和表集!E37,0,10*参照飽和表!$C$1,)</f>
        <v>9.7820000000000003E-4</v>
      </c>
      <c r="E37" s="160">
        <f ca="1">OFFSET(飽和表集!F37,0,10*参照飽和表!$C$1,)</f>
        <v>1.8131000000000001E-2</v>
      </c>
      <c r="F37" s="161">
        <f ca="1">OFFSET(飽和表集!G37,0,10*参照飽和表!$C$1,)</f>
        <v>158.77000000000001</v>
      </c>
      <c r="G37" s="158">
        <f ca="1">OFFSET(飽和表集!H37,0,10*参照飽和表!$C$1,)</f>
        <v>436.7</v>
      </c>
      <c r="H37" s="159">
        <f ca="1">OFFSET(飽和表集!I37,0,10*参照飽和表!$C$1,)</f>
        <v>0.84940000000000004</v>
      </c>
      <c r="I37" s="158">
        <f ca="1">OFFSET(飽和表集!J37,0,10*参照飽和表!$C$1,)</f>
        <v>1.9386000000000001</v>
      </c>
    </row>
    <row r="38" spans="1:9" x14ac:dyDescent="0.4">
      <c r="A38" s="45">
        <f ca="1">OFFSET(飽和表集!B38,0,10*参照飽和表!$C$1,)</f>
        <v>-17</v>
      </c>
      <c r="B38" s="162">
        <f ca="1">OFFSET(飽和表集!C38,0,10*参照飽和表!$C$1,)</f>
        <v>2.1581000000000001</v>
      </c>
      <c r="C38" s="163">
        <f ca="1">OFFSET(飽和表集!D38,0,10*参照飽和表!$C$1,)</f>
        <v>0</v>
      </c>
      <c r="D38" s="162">
        <f ca="1">OFFSET(飽和表集!E38,0,10*参照飽和表!$C$1,)</f>
        <v>9.8269999999999998E-4</v>
      </c>
      <c r="E38" s="163">
        <f ca="1">OFFSET(飽和表集!F38,0,10*参照飽和表!$C$1,)</f>
        <v>1.7557E-2</v>
      </c>
      <c r="F38" s="164">
        <f ca="1">OFFSET(飽和表集!G38,0,10*参照飽和表!$C$1,)</f>
        <v>160.94999999999999</v>
      </c>
      <c r="G38" s="165">
        <f ca="1">OFFSET(飽和表集!H38,0,10*参照飽和表!$C$1,)</f>
        <v>436.58</v>
      </c>
      <c r="H38" s="164">
        <f ca="1">OFFSET(飽和表集!I38,0,10*参照飽和表!$C$1,)</f>
        <v>0.85760000000000003</v>
      </c>
      <c r="I38" s="165">
        <f ca="1">OFFSET(飽和表集!J38,0,10*参照飽和表!$C$1,)</f>
        <v>1.9337</v>
      </c>
    </row>
    <row r="39" spans="1:9" x14ac:dyDescent="0.4">
      <c r="A39" s="44">
        <f ca="1">OFFSET(飽和表集!B39,0,10*参照飽和表!$C$1,)</f>
        <v>-16</v>
      </c>
      <c r="B39" s="157">
        <f ca="1">OFFSET(飽和表集!C39,0,10*参照飽和表!$C$1,)</f>
        <v>2.2237</v>
      </c>
      <c r="C39" s="158">
        <f ca="1">OFFSET(飽和表集!D39,0,10*参照飽和表!$C$1,)</f>
        <v>0</v>
      </c>
      <c r="D39" s="159">
        <f ca="1">OFFSET(飽和表集!E39,0,10*参照飽和表!$C$1,)</f>
        <v>9.8729999999999998E-4</v>
      </c>
      <c r="E39" s="160">
        <f ca="1">OFFSET(飽和表集!F39,0,10*参照飽和表!$C$1,)</f>
        <v>1.7002E-2</v>
      </c>
      <c r="F39" s="161">
        <f ca="1">OFFSET(飽和表集!G39,0,10*参照飽和表!$C$1,)</f>
        <v>163.13999999999999</v>
      </c>
      <c r="G39" s="158">
        <f ca="1">OFFSET(飽和表集!H39,0,10*参照飽和表!$C$1,)</f>
        <v>4366.4399999999996</v>
      </c>
      <c r="H39" s="159">
        <f ca="1">OFFSET(飽和表集!I39,0,10*参照飽和表!$C$1,)</f>
        <v>0.8659</v>
      </c>
      <c r="I39" s="158">
        <f ca="1">OFFSET(飽和表集!J39,0,10*参照飽和表!$C$1,)</f>
        <v>1.9287000000000001</v>
      </c>
    </row>
    <row r="40" spans="1:9" x14ac:dyDescent="0.4">
      <c r="A40" s="45">
        <f ca="1">OFFSET(飽和表集!B40,0,10*参照飽和表!$C$1,)</f>
        <v>-15</v>
      </c>
      <c r="B40" s="162">
        <f ca="1">OFFSET(飽和表集!C40,0,10*参照飽和表!$C$1,)</f>
        <v>2.2907999999999999</v>
      </c>
      <c r="C40" s="163">
        <f ca="1">OFFSET(飽和表集!D40,0,10*参照飽和表!$C$1,)</f>
        <v>0</v>
      </c>
      <c r="D40" s="162">
        <f ca="1">OFFSET(飽和表集!E40,0,10*参照飽和表!$C$1,)</f>
        <v>9.921000000000001E-4</v>
      </c>
      <c r="E40" s="163">
        <f ca="1">OFFSET(飽和表集!F40,0,10*参照飽和表!$C$1,)</f>
        <v>1.6466999999999999E-2</v>
      </c>
      <c r="F40" s="164">
        <f ca="1">OFFSET(飽和表集!G40,0,10*参照飽和表!$C$1,)</f>
        <v>165.34</v>
      </c>
      <c r="G40" s="165">
        <f ca="1">OFFSET(飽和表集!H40,0,10*参照飽和表!$C$1,)</f>
        <v>436.27</v>
      </c>
      <c r="H40" s="164">
        <f ca="1">OFFSET(飽和表集!I40,0,10*参照飽和表!$C$1,)</f>
        <v>0.87419999999999998</v>
      </c>
      <c r="I40" s="165">
        <f ca="1">OFFSET(飽和表集!J40,0,10*参照飽和表!$C$1,)</f>
        <v>1.9237</v>
      </c>
    </row>
    <row r="41" spans="1:9" x14ac:dyDescent="0.4">
      <c r="A41" s="44">
        <f ca="1">OFFSET(飽和表集!B41,0,10*参照飽和表!$C$1,)</f>
        <v>-14</v>
      </c>
      <c r="B41" s="157">
        <f ca="1">OFFSET(飽和表集!C41,0,10*参照飽和表!$C$1,)</f>
        <v>2.3593000000000002</v>
      </c>
      <c r="C41" s="158">
        <f ca="1">OFFSET(飽和表集!D41,0,10*参照飽和表!$C$1,)</f>
        <v>0</v>
      </c>
      <c r="D41" s="159">
        <f ca="1">OFFSET(飽和表集!E41,0,10*参照飽和表!$C$1,)</f>
        <v>9.969E-4</v>
      </c>
      <c r="E41" s="160">
        <f ca="1">OFFSET(飽和表集!F41,0,10*参照飽和表!$C$1,)</f>
        <v>1.5949999999999999E-2</v>
      </c>
      <c r="F41" s="161">
        <f ca="1">OFFSET(飽和表集!G41,0,10*参照飽和表!$C$1,)</f>
        <v>167.55</v>
      </c>
      <c r="G41" s="158">
        <f ca="1">OFFSET(飽和表集!H41,0,10*参照飽和表!$C$1,)</f>
        <v>436.09</v>
      </c>
      <c r="H41" s="159">
        <f ca="1">OFFSET(飽和表集!I41,0,10*参照飽和表!$C$1,)</f>
        <v>0.88249999999999995</v>
      </c>
      <c r="I41" s="158">
        <f ca="1">OFFSET(飽和表集!J41,0,10*参照飽和表!$C$1,)</f>
        <v>1.9187000000000001</v>
      </c>
    </row>
    <row r="42" spans="1:9" x14ac:dyDescent="0.4">
      <c r="A42" s="45">
        <f ca="1">OFFSET(飽和表集!B42,0,10*参照飽和表!$C$1,)</f>
        <v>-13</v>
      </c>
      <c r="B42" s="162">
        <f ca="1">OFFSET(飽和表集!C42,0,10*参照飽和表!$C$1,)</f>
        <v>2.4293999999999998</v>
      </c>
      <c r="C42" s="163">
        <f ca="1">OFFSET(飽和表集!D42,0,10*参照飽和表!$C$1,)</f>
        <v>0</v>
      </c>
      <c r="D42" s="162">
        <f ca="1">OFFSET(飽和表集!E42,0,10*参照飽和表!$C$1,)</f>
        <v>1.0019E-3</v>
      </c>
      <c r="E42" s="163">
        <f ca="1">OFFSET(飽和表集!F42,0,10*参照飽和表!$C$1,)</f>
        <v>1.545E-2</v>
      </c>
      <c r="F42" s="164">
        <f ca="1">OFFSET(飽和表集!G42,0,10*参照飽和表!$C$1,)</f>
        <v>169.78</v>
      </c>
      <c r="G42" s="165">
        <f ca="1">OFFSET(飽和表集!H42,0,10*参照飽和表!$C$1,)</f>
        <v>435.89</v>
      </c>
      <c r="H42" s="164">
        <f ca="1">OFFSET(飽和表集!I42,0,10*参照飽和表!$C$1,)</f>
        <v>0.89080000000000004</v>
      </c>
      <c r="I42" s="165">
        <f ca="1">OFFSET(飽和表集!J42,0,10*参照飽和表!$C$1,)</f>
        <v>1.9137</v>
      </c>
    </row>
    <row r="43" spans="1:9" x14ac:dyDescent="0.4">
      <c r="A43" s="44">
        <f ca="1">OFFSET(飽和表集!B43,0,10*参照飽和表!$C$1,)</f>
        <v>-12</v>
      </c>
      <c r="B43" s="157">
        <f ca="1">OFFSET(飽和表集!C43,0,10*参照飽和表!$C$1,)</f>
        <v>2.5009999999999999</v>
      </c>
      <c r="C43" s="158">
        <f ca="1">OFFSET(飽和表集!D43,0,10*参照飽和表!$C$1,)</f>
        <v>0</v>
      </c>
      <c r="D43" s="159">
        <f ca="1">OFFSET(飽和表集!E43,0,10*参照飽和表!$C$1,)</f>
        <v>1.0069E-3</v>
      </c>
      <c r="E43" s="160">
        <f ca="1">OFFSET(飽和表集!F43,0,10*参照飽和表!$C$1,)</f>
        <v>1.4966999999999999E-2</v>
      </c>
      <c r="F43" s="161">
        <f ca="1">OFFSET(飽和表集!G43,0,10*参照飽和表!$C$1,)</f>
        <v>172.01</v>
      </c>
      <c r="G43" s="158">
        <f ca="1">OFFSET(飽和表集!H43,0,10*参照飽和表!$C$1,)</f>
        <v>435.66</v>
      </c>
      <c r="H43" s="159">
        <f ca="1">OFFSET(飽和表集!I43,0,10*参照飽和表!$C$1,)</f>
        <v>0.89910000000000001</v>
      </c>
      <c r="I43" s="158">
        <f ca="1">OFFSET(飽和表集!J43,0,10*参照飽和表!$C$1,)</f>
        <v>1.9086000000000001</v>
      </c>
    </row>
    <row r="44" spans="1:9" x14ac:dyDescent="0.4">
      <c r="A44" s="45">
        <f ca="1">OFFSET(飽和表集!B44,0,10*参照飽和表!$C$1,)</f>
        <v>-11</v>
      </c>
      <c r="B44" s="162">
        <f ca="1">OFFSET(飽和表集!C44,0,10*参照飽和表!$C$1,)</f>
        <v>2.5739999999999998</v>
      </c>
      <c r="C44" s="163">
        <f ca="1">OFFSET(飽和表集!D44,0,10*参照飽和表!$C$1,)</f>
        <v>0</v>
      </c>
      <c r="D44" s="162">
        <f ca="1">OFFSET(飽和表集!E44,0,10*参照飽和表!$C$1,)</f>
        <v>1.0120999999999999E-3</v>
      </c>
      <c r="E44" s="163">
        <f ca="1">OFFSET(飽和表集!F44,0,10*参照飽和表!$C$1,)</f>
        <v>1.4500000000000001E-2</v>
      </c>
      <c r="F44" s="164">
        <f ca="1">OFFSET(飽和表集!G44,0,10*参照飽和表!$C$1,)</f>
        <v>174.26</v>
      </c>
      <c r="G44" s="165">
        <f ca="1">OFFSET(飽和表集!H44,0,10*参照飽和表!$C$1,)</f>
        <v>435.41</v>
      </c>
      <c r="H44" s="164">
        <f ca="1">OFFSET(飽和表集!I44,0,10*参照飽和表!$C$1,)</f>
        <v>0.90739999999999998</v>
      </c>
      <c r="I44" s="165">
        <f ca="1">OFFSET(飽和表集!J44,0,10*参照飽和表!$C$1,)</f>
        <v>1.9036</v>
      </c>
    </row>
    <row r="45" spans="1:9" x14ac:dyDescent="0.4">
      <c r="A45" s="44">
        <f ca="1">OFFSET(飽和表集!B45,0,10*参照飽和表!$C$1,)</f>
        <v>-10</v>
      </c>
      <c r="B45" s="157">
        <f ca="1">OFFSET(飽和表集!C45,0,10*参照飽和表!$C$1,)</f>
        <v>2.6486999999999998</v>
      </c>
      <c r="C45" s="158">
        <f ca="1">OFFSET(飽和表集!D45,0,10*参照飽和表!$C$1,)</f>
        <v>0</v>
      </c>
      <c r="D45" s="159">
        <f ca="1">OFFSET(飽和表集!E45,0,10*参照飽和表!$C$1,)</f>
        <v>1.0173999999999999E-3</v>
      </c>
      <c r="E45" s="160">
        <f ca="1">OFFSET(飽和表集!F45,0,10*参照飽和表!$C$1,)</f>
        <v>1.4048E-2</v>
      </c>
      <c r="F45" s="161">
        <f ca="1">OFFSET(飽和表集!G45,0,10*参照飽和表!$C$1,)</f>
        <v>176.52</v>
      </c>
      <c r="G45" s="158">
        <f ca="1">OFFSET(飽和表集!H45,0,10*参照飽和表!$C$1,)</f>
        <v>435.14</v>
      </c>
      <c r="H45" s="159">
        <f ca="1">OFFSET(飽和表集!I45,0,10*参照飽和表!$C$1,)</f>
        <v>0.91569999999999996</v>
      </c>
      <c r="I45" s="158">
        <f ca="1">OFFSET(飽和表集!J45,0,10*参照飽和表!$C$1,)</f>
        <v>1.8985000000000001</v>
      </c>
    </row>
    <row r="46" spans="1:9" x14ac:dyDescent="0.4">
      <c r="A46" s="45">
        <f ca="1">OFFSET(飽和表集!B46,0,10*参照飽和表!$C$1,)</f>
        <v>-9</v>
      </c>
      <c r="B46" s="162">
        <f ca="1">OFFSET(飽和表集!C46,0,10*参照飽和表!$C$1,)</f>
        <v>2.7248999999999999</v>
      </c>
      <c r="C46" s="163">
        <f ca="1">OFFSET(飽和表集!D46,0,10*参照飽和表!$C$1,)</f>
        <v>0</v>
      </c>
      <c r="D46" s="162">
        <f ca="1">OFFSET(飽和表集!E46,0,10*参照飽和表!$C$1,)</f>
        <v>1.0227999999999999E-3</v>
      </c>
      <c r="E46" s="163">
        <f ca="1">OFFSET(飽和表集!F46,0,10*参照飽和表!$C$1,)</f>
        <v>1.3611E-2</v>
      </c>
      <c r="F46" s="164">
        <f ca="1">OFFSET(飽和表集!G46,0,10*参照飽和表!$C$1,)</f>
        <v>178.8</v>
      </c>
      <c r="G46" s="165">
        <f ca="1">OFFSET(飽和表集!H46,0,10*参照飽和表!$C$1,)</f>
        <v>434.84</v>
      </c>
      <c r="H46" s="164">
        <f ca="1">OFFSET(飽和表集!I46,0,10*参照飽和表!$C$1,)</f>
        <v>0.92410000000000003</v>
      </c>
      <c r="I46" s="165">
        <f ca="1">OFFSET(飽和表集!J46,0,10*参照飽和表!$C$1,)</f>
        <v>1.8934</v>
      </c>
    </row>
    <row r="47" spans="1:9" x14ac:dyDescent="0.4">
      <c r="A47" s="44">
        <f ca="1">OFFSET(飽和表集!B47,0,10*参照飽和表!$C$1,)</f>
        <v>-8</v>
      </c>
      <c r="B47" s="157">
        <f ca="1">OFFSET(飽和表集!C47,0,10*参照飽和表!$C$1,)</f>
        <v>2.8027000000000002</v>
      </c>
      <c r="C47" s="158">
        <f ca="1">OFFSET(飽和表集!D47,0,10*参照飽和表!$C$1,)</f>
        <v>0</v>
      </c>
      <c r="D47" s="159">
        <f ca="1">OFFSET(飽和表集!E47,0,10*参照飽和表!$C$1,)</f>
        <v>1.0283E-3</v>
      </c>
      <c r="E47" s="160">
        <f ca="1">OFFSET(飽和表集!F47,0,10*参照飽和表!$C$1,)</f>
        <v>1.3188E-2</v>
      </c>
      <c r="F47" s="161">
        <f ca="1">OFFSET(飽和表集!G47,0,10*参照飽和表!$C$1,)</f>
        <v>181.09</v>
      </c>
      <c r="G47" s="158">
        <f ca="1">OFFSET(飽和表集!H47,0,10*参照飽和表!$C$1,)</f>
        <v>434.51</v>
      </c>
      <c r="H47" s="159">
        <f ca="1">OFFSET(飽和表集!I47,0,10*参照飽和表!$C$1,)</f>
        <v>0.93240000000000001</v>
      </c>
      <c r="I47" s="158">
        <f ca="1">OFFSET(飽和表集!J47,0,10*参照飽和表!$C$1,)</f>
        <v>1.8882000000000001</v>
      </c>
    </row>
    <row r="48" spans="1:9" x14ac:dyDescent="0.4">
      <c r="A48" s="45">
        <f ca="1">OFFSET(飽和表集!B48,0,10*参照飽和表!$C$1,)</f>
        <v>-7</v>
      </c>
      <c r="B48" s="162">
        <f ca="1">OFFSET(飽和表集!C48,0,10*参照飽和表!$C$1,)</f>
        <v>2.8820999999999999</v>
      </c>
      <c r="C48" s="163">
        <f ca="1">OFFSET(飽和表集!D48,0,10*参照飽和表!$C$1,)</f>
        <v>0</v>
      </c>
      <c r="D48" s="162">
        <f ca="1">OFFSET(飽和表集!E48,0,10*参照飽和表!$C$1,)</f>
        <v>1.034E-3</v>
      </c>
      <c r="E48" s="163">
        <f ca="1">OFFSET(飽和表集!F48,0,10*参照飽和表!$C$1,)</f>
        <v>1.2777999999999999E-2</v>
      </c>
      <c r="F48" s="164">
        <f ca="1">OFFSET(飽和表集!G48,0,10*参照飽和表!$C$1,)</f>
        <v>183.39</v>
      </c>
      <c r="G48" s="165">
        <f ca="1">OFFSET(飽和表集!H48,0,10*参照飽和表!$C$1,)</f>
        <v>434.17</v>
      </c>
      <c r="H48" s="164">
        <f ca="1">OFFSET(飽和表集!I48,0,10*参照飽和表!$C$1,)</f>
        <v>0.94079999999999997</v>
      </c>
      <c r="I48" s="165">
        <f ca="1">OFFSET(飽和表集!J48,0,10*参照飽和表!$C$1,)</f>
        <v>1.883</v>
      </c>
    </row>
    <row r="49" spans="1:9" x14ac:dyDescent="0.4">
      <c r="A49" s="44">
        <f ca="1">OFFSET(飽和表集!B49,0,10*参照飽和表!$C$1,)</f>
        <v>-6</v>
      </c>
      <c r="B49" s="157">
        <f ca="1">OFFSET(飽和表集!C49,0,10*参照飽和表!$C$1,)</f>
        <v>2.9632000000000001</v>
      </c>
      <c r="C49" s="158">
        <f ca="1">OFFSET(飽和表集!D49,0,10*参照飽和表!$C$1,)</f>
        <v>0</v>
      </c>
      <c r="D49" s="159">
        <f ca="1">OFFSET(飽和表集!E49,0,10*参照飽和表!$C$1,)</f>
        <v>1.0398E-3</v>
      </c>
      <c r="E49" s="160">
        <f ca="1">OFFSET(飽和表集!F49,0,10*参照飽和表!$C$1,)</f>
        <v>1.2381E-2</v>
      </c>
      <c r="F49" s="161">
        <f ca="1">OFFSET(飽和表集!G49,0,10*参照飽和表!$C$1,)</f>
        <v>185.71</v>
      </c>
      <c r="G49" s="158">
        <f ca="1">OFFSET(飽和表集!H49,0,10*参照飽和表!$C$1,)</f>
        <v>433.79</v>
      </c>
      <c r="H49" s="159">
        <f ca="1">OFFSET(飽和表集!I49,0,10*参照飽和表!$C$1,)</f>
        <v>0.94920000000000004</v>
      </c>
      <c r="I49" s="158">
        <f ca="1">OFFSET(飽和表集!J49,0,10*参照飽和表!$C$1,)</f>
        <v>1.8777999999999999</v>
      </c>
    </row>
    <row r="50" spans="1:9" x14ac:dyDescent="0.4">
      <c r="A50" s="45">
        <f ca="1">OFFSET(飽和表集!B50,0,10*参照飽和表!$C$1,)</f>
        <v>-5</v>
      </c>
      <c r="B50" s="162">
        <f ca="1">OFFSET(飽和表集!C50,0,10*参照飽和表!$C$1,)</f>
        <v>3.0459000000000001</v>
      </c>
      <c r="C50" s="163">
        <f ca="1">OFFSET(飽和表集!D50,0,10*参照飽和表!$C$1,)</f>
        <v>0</v>
      </c>
      <c r="D50" s="162">
        <f ca="1">OFFSET(飽和表集!E50,0,10*参照飽和表!$C$1,)</f>
        <v>1.0457999999999999E-3</v>
      </c>
      <c r="E50" s="163">
        <f ca="1">OFFSET(飽和表集!F50,0,10*参照飽和表!$C$1,)</f>
        <v>1.1996E-2</v>
      </c>
      <c r="F50" s="164">
        <f ca="1">OFFSET(飽和表集!G50,0,10*参照飽和表!$C$1,)</f>
        <v>188.05</v>
      </c>
      <c r="G50" s="165">
        <f ca="1">OFFSET(飽和表集!H50,0,10*参照飽和表!$C$1,)</f>
        <v>433.38</v>
      </c>
      <c r="H50" s="164">
        <f ca="1">OFFSET(飽和表集!I50,0,10*参照飽和表!$C$1,)</f>
        <v>0.95760000000000001</v>
      </c>
      <c r="I50" s="165">
        <f ca="1">OFFSET(飽和表集!J50,0,10*参照飽和表!$C$1,)</f>
        <v>1.8725000000000001</v>
      </c>
    </row>
    <row r="51" spans="1:9" x14ac:dyDescent="0.4">
      <c r="A51" s="44">
        <f ca="1">OFFSET(飽和表集!B51,0,10*参照飽和表!$C$1,)</f>
        <v>-4</v>
      </c>
      <c r="B51" s="157">
        <f ca="1">OFFSET(飽和表集!C51,0,10*参照飽和表!$C$1,)</f>
        <v>3.1303000000000001</v>
      </c>
      <c r="C51" s="158">
        <f ca="1">OFFSET(飽和表集!D51,0,10*参照飽和表!$C$1,)</f>
        <v>0</v>
      </c>
      <c r="D51" s="159">
        <f ca="1">OFFSET(飽和表集!E51,0,10*参照飽和表!$C$1,)</f>
        <v>1.0518999999999999E-3</v>
      </c>
      <c r="E51" s="160">
        <f ca="1">OFFSET(飽和表集!F51,0,10*参照飽和表!$C$1,)</f>
        <v>1.1624000000000001E-2</v>
      </c>
      <c r="F51" s="161">
        <f ca="1">OFFSET(飽和表集!G51,0,10*参照飽和表!$C$1,)</f>
        <v>190.4</v>
      </c>
      <c r="G51" s="158">
        <f ca="1">OFFSET(飽和表集!H51,0,10*参照飽和表!$C$1,)</f>
        <v>432.95</v>
      </c>
      <c r="H51" s="159">
        <f ca="1">OFFSET(飽和表集!I51,0,10*参照飽和表!$C$1,)</f>
        <v>0.96599999999999997</v>
      </c>
      <c r="I51" s="158">
        <f ca="1">OFFSET(飽和表集!J51,0,10*参照飽和表!$C$1,)</f>
        <v>1.8672</v>
      </c>
    </row>
    <row r="52" spans="1:9" x14ac:dyDescent="0.4">
      <c r="A52" s="45">
        <f ca="1">OFFSET(飽和表集!B52,0,10*参照飽和表!$C$1,)</f>
        <v>-3</v>
      </c>
      <c r="B52" s="162">
        <f ca="1">OFFSET(飽和表集!C52,0,10*参照飽和表!$C$1,)</f>
        <v>3.2164000000000001</v>
      </c>
      <c r="C52" s="163">
        <f ca="1">OFFSET(飽和表集!D52,0,10*参照飽和表!$C$1,)</f>
        <v>0</v>
      </c>
      <c r="D52" s="162">
        <f ca="1">OFFSET(飽和表集!E52,0,10*参照飽和表!$C$1,)</f>
        <v>1.0582E-3</v>
      </c>
      <c r="E52" s="163">
        <f ca="1">OFFSET(飽和表集!F52,0,10*参照飽和表!$C$1,)</f>
        <v>1.1261999999999999E-2</v>
      </c>
      <c r="F52" s="164">
        <f ca="1">OFFSET(飽和表集!G52,0,10*参照飽和表!$C$1,)</f>
        <v>192.77</v>
      </c>
      <c r="G52" s="165">
        <f ca="1">OFFSET(飽和表集!H52,0,10*参照飽和表!$C$1,)</f>
        <v>432.48</v>
      </c>
      <c r="H52" s="164">
        <f ca="1">OFFSET(飽和表集!I52,0,10*参照飽和表!$C$1,)</f>
        <v>0.97440000000000004</v>
      </c>
      <c r="I52" s="165">
        <f ca="1">OFFSET(飽和表集!J52,0,10*参照飽和表!$C$1,)</f>
        <v>1.8617999999999999</v>
      </c>
    </row>
    <row r="53" spans="1:9" x14ac:dyDescent="0.4">
      <c r="A53" s="44">
        <f ca="1">OFFSET(飽和表集!B53,0,10*参照飽和表!$C$1,)</f>
        <v>-2</v>
      </c>
      <c r="B53" s="157">
        <f ca="1">OFFSET(飽和表集!C53,0,10*参照飽和表!$C$1,)</f>
        <v>3.3041999999999998</v>
      </c>
      <c r="C53" s="158">
        <f ca="1">OFFSET(飽和表集!D53,0,10*参照飽和表!$C$1,)</f>
        <v>0</v>
      </c>
      <c r="D53" s="159">
        <f ca="1">OFFSET(飽和表集!E53,0,10*参照飽和表!$C$1,)</f>
        <v>1.0647E-3</v>
      </c>
      <c r="E53" s="160">
        <f ca="1">OFFSET(飽和表集!F53,0,10*参照飽和表!$C$1,)</f>
        <v>1.0911000000000001E-2</v>
      </c>
      <c r="F53" s="161">
        <f ca="1">OFFSET(飽和表集!G53,0,10*参照飽和表!$C$1,)</f>
        <v>195.16</v>
      </c>
      <c r="G53" s="158">
        <f ca="1">OFFSET(飽和表集!H53,0,10*参照飽和表!$C$1,)</f>
        <v>431.99</v>
      </c>
      <c r="H53" s="159">
        <f ca="1">OFFSET(飽和表集!I53,0,10*参照飽和表!$C$1,)</f>
        <v>0.9829</v>
      </c>
      <c r="I53" s="158">
        <f ca="1">OFFSET(飽和表集!J53,0,10*参照飽和表!$C$1,)</f>
        <v>1.8563000000000001</v>
      </c>
    </row>
    <row r="54" spans="1:9" x14ac:dyDescent="0.4">
      <c r="A54" s="45">
        <f ca="1">OFFSET(飽和表集!B54,0,10*参照飽和表!$C$1,)</f>
        <v>-1</v>
      </c>
      <c r="B54" s="162">
        <f ca="1">OFFSET(飽和表集!C54,0,10*参照飽和表!$C$1,)</f>
        <v>3.3938000000000001</v>
      </c>
      <c r="C54" s="163">
        <f ca="1">OFFSET(飽和表集!D54,0,10*参照飽和表!$C$1,)</f>
        <v>0</v>
      </c>
      <c r="D54" s="162">
        <f ca="1">OFFSET(飽和表集!E54,0,10*参照飽和表!$C$1,)</f>
        <v>1.0713999999999999E-3</v>
      </c>
      <c r="E54" s="163">
        <f ca="1">OFFSET(飽和表集!F54,0,10*参照飽和表!$C$1,)</f>
        <v>1.0571000000000001E-2</v>
      </c>
      <c r="F54" s="164">
        <f ca="1">OFFSET(飽和表集!G54,0,10*参照飽和表!$C$1,)</f>
        <v>197.57</v>
      </c>
      <c r="G54" s="165">
        <f ca="1">OFFSET(飽和表集!H54,0,10*参照飽和表!$C$1,)</f>
        <v>431.46</v>
      </c>
      <c r="H54" s="164">
        <f ca="1">OFFSET(飽和表集!I54,0,10*参照飽和表!$C$1,)</f>
        <v>0.99150000000000005</v>
      </c>
      <c r="I54" s="165">
        <f ca="1">OFFSET(飽和表集!J54,0,10*参照飽和表!$C$1,)</f>
        <v>1.8509</v>
      </c>
    </row>
    <row r="55" spans="1:9" x14ac:dyDescent="0.4">
      <c r="A55" s="44">
        <f ca="1">OFFSET(飽和表集!B55,0,10*参照飽和表!$C$1,)</f>
        <v>0</v>
      </c>
      <c r="B55" s="157">
        <f ca="1">OFFSET(飽和表集!C55,0,10*参照飽和表!$C$1,)</f>
        <v>3.4851000000000001</v>
      </c>
      <c r="C55" s="158">
        <f ca="1">OFFSET(飽和表集!D55,0,10*参照飽和表!$C$1,)</f>
        <v>0</v>
      </c>
      <c r="D55" s="159">
        <f ca="1">OFFSET(飽和表集!E55,0,10*参照飽和表!$C$1,)</f>
        <v>1.0782000000000001E-3</v>
      </c>
      <c r="E55" s="160">
        <f ca="1">OFFSET(飽和表集!F55,0,10*参照飽和表!$C$1,)</f>
        <v>1.0241E-2</v>
      </c>
      <c r="F55" s="161">
        <f ca="1">OFFSET(飽和表集!G55,0,10*参照飽和表!$C$1,)</f>
        <v>200</v>
      </c>
      <c r="G55" s="158">
        <f ca="1">OFFSET(飽和表集!H55,0,10*参照飽和表!$C$1,)</f>
        <v>430.89</v>
      </c>
      <c r="H55" s="159">
        <f ca="1">OFFSET(飽和表集!I55,0,10*参照飽和表!$C$1,)</f>
        <v>1</v>
      </c>
      <c r="I55" s="158">
        <f ca="1">OFFSET(飽和表集!J55,0,10*参照飽和表!$C$1,)</f>
        <v>1.8452999999999999</v>
      </c>
    </row>
    <row r="56" spans="1:9" x14ac:dyDescent="0.4">
      <c r="A56" s="45">
        <f ca="1">OFFSET(飽和表集!B56,0,10*参照飽和表!$C$1,)</f>
        <v>1</v>
      </c>
      <c r="B56" s="162">
        <f ca="1">OFFSET(飽和表集!C56,0,10*参照飽和表!$C$1,)</f>
        <v>3.5783</v>
      </c>
      <c r="C56" s="163">
        <f ca="1">OFFSET(飽和表集!D56,0,10*参照飽和表!$C$1,)</f>
        <v>0</v>
      </c>
      <c r="D56" s="162">
        <f ca="1">OFFSET(飽和表集!E56,0,10*参照飽和表!$C$1,)</f>
        <v>1.0853E-3</v>
      </c>
      <c r="E56" s="163">
        <f ca="1">OFFSET(飽和表集!F56,0,10*参照飽和表!$C$1,)</f>
        <v>9.9202000000000005E-3</v>
      </c>
      <c r="F56" s="164">
        <f ca="1">OFFSET(飽和表集!G56,0,10*参照飽和表!$C$1,)</f>
        <v>202.45</v>
      </c>
      <c r="G56" s="165">
        <f ca="1">OFFSET(飽和表集!H56,0,10*参照飽和表!$C$1,)</f>
        <v>430.29</v>
      </c>
      <c r="H56" s="164">
        <f ca="1">OFFSET(飽和表集!I56,0,10*参照飽和表!$C$1,)</f>
        <v>1.0085999999999999</v>
      </c>
      <c r="I56" s="165">
        <f ca="1">OFFSET(飽和表集!J56,0,10*参照飽和表!$C$1,)</f>
        <v>1.8396999999999999</v>
      </c>
    </row>
    <row r="57" spans="1:9" x14ac:dyDescent="0.4">
      <c r="A57" s="44">
        <f ca="1">OFFSET(飽和表集!B57,0,10*参照飽和表!$C$1,)</f>
        <v>2</v>
      </c>
      <c r="B57" s="157">
        <f ca="1">OFFSET(飽和表集!C57,0,10*参照飽和表!$C$1,)</f>
        <v>3.6732999999999998</v>
      </c>
      <c r="C57" s="158">
        <f ca="1">OFFSET(飽和表集!D57,0,10*参照飽和表!$C$1,)</f>
        <v>0</v>
      </c>
      <c r="D57" s="159">
        <f ca="1">OFFSET(飽和表集!E57,0,10*参照飽和表!$C$1,)</f>
        <v>1.0926E-3</v>
      </c>
      <c r="E57" s="160">
        <f ca="1">OFFSET(飽和表集!F57,0,10*参照飽和表!$C$1,)</f>
        <v>9.6085000000000007E-3</v>
      </c>
      <c r="F57" s="161">
        <f ca="1">OFFSET(飽和表集!G57,0,10*参照飽和表!$C$1,)</f>
        <v>204.93</v>
      </c>
      <c r="G57" s="158">
        <f ca="1">OFFSET(飽和表集!H57,0,10*参照飽和表!$C$1,)</f>
        <v>429.65</v>
      </c>
      <c r="H57" s="159">
        <f ca="1">OFFSET(飽和表集!I57,0,10*参照飽和表!$C$1,)</f>
        <v>1.0172000000000001</v>
      </c>
      <c r="I57" s="158">
        <f ca="1">OFFSET(飽和表集!J57,0,10*参照飽和表!$C$1,)</f>
        <v>1.8340000000000001</v>
      </c>
    </row>
    <row r="58" spans="1:9" x14ac:dyDescent="0.4">
      <c r="A58" s="45">
        <f ca="1">OFFSET(飽和表集!B58,0,10*参照飽和表!$C$1,)</f>
        <v>3</v>
      </c>
      <c r="B58" s="162">
        <f ca="1">OFFSET(飽和表集!C58,0,10*参照飽和表!$C$1,)</f>
        <v>3.7700999999999998</v>
      </c>
      <c r="C58" s="163">
        <f ca="1">OFFSET(飽和表集!D58,0,10*参照飽和表!$C$1,)</f>
        <v>0</v>
      </c>
      <c r="D58" s="162">
        <f ca="1">OFFSET(飽和表集!E58,0,10*参照飽和表!$C$1,)</f>
        <v>1.1002E-3</v>
      </c>
      <c r="E58" s="163">
        <f ca="1">OFFSET(飽和表集!F58,0,10*参照飽和表!$C$1,)</f>
        <v>9.3056000000000007E-3</v>
      </c>
      <c r="F58" s="164">
        <f ca="1">OFFSET(飽和表集!G58,0,10*参照飽和表!$C$1,)</f>
        <v>207.43</v>
      </c>
      <c r="G58" s="165">
        <f ca="1">OFFSET(飽和表集!H58,0,10*参照飽和表!$C$1,)</f>
        <v>428.97</v>
      </c>
      <c r="H58" s="164">
        <f ca="1">OFFSET(飽和表集!I58,0,10*参照飽和表!$C$1,)</f>
        <v>1.0259</v>
      </c>
      <c r="I58" s="165">
        <f ca="1">OFFSET(飽和表集!J58,0,10*参照飽和表!$C$1,)</f>
        <v>1.8282</v>
      </c>
    </row>
    <row r="59" spans="1:9" x14ac:dyDescent="0.4">
      <c r="A59" s="44">
        <f ca="1">OFFSET(飽和表集!B59,0,10*参照飽和表!$C$1,)</f>
        <v>4</v>
      </c>
      <c r="B59" s="157">
        <f ca="1">OFFSET(飽和表集!C59,0,10*参照飽和表!$C$1,)</f>
        <v>3.8687999999999998</v>
      </c>
      <c r="C59" s="158">
        <f ca="1">OFFSET(飽和表集!D59,0,10*参照飽和表!$C$1,)</f>
        <v>0</v>
      </c>
      <c r="D59" s="159">
        <f ca="1">OFFSET(飽和表集!E59,0,10*参照飽和表!$C$1,)</f>
        <v>1.108E-3</v>
      </c>
      <c r="E59" s="160">
        <f ca="1">OFFSET(飽和表集!F59,0,10*参照飽和表!$C$1,)</f>
        <v>9.0109999999999999E-3</v>
      </c>
      <c r="F59" s="161">
        <f ca="1">OFFSET(飽和表集!G59,0,10*参照飽和表!$C$1,)</f>
        <v>209.95</v>
      </c>
      <c r="G59" s="158">
        <f ca="1">OFFSET(飽和表集!H59,0,10*参照飽和表!$C$1,)</f>
        <v>428.25</v>
      </c>
      <c r="H59" s="159">
        <f ca="1">OFFSET(飽和表集!I59,0,10*参照飽和表!$C$1,)</f>
        <v>1.0346</v>
      </c>
      <c r="I59" s="158">
        <f ca="1">OFFSET(飽和表集!J59,0,10*参照飽和表!$C$1,)</f>
        <v>1.8223</v>
      </c>
    </row>
    <row r="60" spans="1:9" x14ac:dyDescent="0.4">
      <c r="A60" s="45">
        <f ca="1">OFFSET(飽和表集!B60,0,10*参照飽和表!$C$1,)</f>
        <v>5</v>
      </c>
      <c r="B60" s="162">
        <f ca="1">OFFSET(飽和表集!C60,0,10*参照飽和表!$C$1,)</f>
        <v>3.9695</v>
      </c>
      <c r="C60" s="163">
        <f ca="1">OFFSET(飽和表集!D60,0,10*参照飽和表!$C$1,)</f>
        <v>0</v>
      </c>
      <c r="D60" s="162">
        <f ca="1">OFFSET(飽和表集!E60,0,10*参照飽和表!$C$1,)</f>
        <v>1.116E-3</v>
      </c>
      <c r="E60" s="163">
        <f ca="1">OFFSET(飽和表集!F60,0,10*参照飽和表!$C$1,)</f>
        <v>8.7244000000000002E-3</v>
      </c>
      <c r="F60" s="164">
        <f ca="1">OFFSET(飽和表集!G60,0,10*参照飽和表!$C$1,)</f>
        <v>212.5</v>
      </c>
      <c r="G60" s="165">
        <f ca="1">OFFSET(飽和表集!H60,0,10*参照飽和表!$C$1,)</f>
        <v>427.48</v>
      </c>
      <c r="H60" s="164">
        <f ca="1">OFFSET(飽和表集!I60,0,10*参照飽和表!$C$1,)</f>
        <v>1.0434000000000001</v>
      </c>
      <c r="I60" s="165">
        <f ca="1">OFFSET(飽和表集!J60,0,10*参照飽和表!$C$1,)</f>
        <v>1.8163</v>
      </c>
    </row>
    <row r="61" spans="1:9" x14ac:dyDescent="0.4">
      <c r="A61" s="44">
        <f ca="1">OFFSET(飽和表集!B61,0,10*参照飽和表!$C$1,)</f>
        <v>6</v>
      </c>
      <c r="B61" s="157">
        <f ca="1">OFFSET(飽和表集!C61,0,10*参照飽和表!$C$1,)</f>
        <v>4.0720000000000001</v>
      </c>
      <c r="C61" s="158">
        <f ca="1">OFFSET(飽和表集!D61,0,10*参照飽和表!$C$1,)</f>
        <v>0</v>
      </c>
      <c r="D61" s="159">
        <f ca="1">OFFSET(飽和表集!E61,0,10*参照飽和表!$C$1,)</f>
        <v>1.1244E-3</v>
      </c>
      <c r="E61" s="160">
        <f ca="1">OFFSET(飽和表集!F61,0,10*参照飽和表!$C$1,)</f>
        <v>8.4454000000000005E-3</v>
      </c>
      <c r="F61" s="161">
        <f ca="1">OFFSET(飽和表集!G61,0,10*参照飽和表!$C$1,)</f>
        <v>215.08</v>
      </c>
      <c r="G61" s="158">
        <f ca="1">OFFSET(飽和表集!H61,0,10*参照飽和表!$C$1,)</f>
        <v>426.67</v>
      </c>
      <c r="H61" s="159">
        <f ca="1">OFFSET(飽和表集!I61,0,10*参照飽和表!$C$1,)</f>
        <v>1.0523</v>
      </c>
      <c r="I61" s="158">
        <f ca="1">OFFSET(飽和表集!J61,0,10*参照飽和表!$C$1,)</f>
        <v>1.8102</v>
      </c>
    </row>
    <row r="62" spans="1:9" x14ac:dyDescent="0.4">
      <c r="A62" s="45">
        <f ca="1">OFFSET(飽和表集!B62,0,10*参照飽和表!$C$1,)</f>
        <v>7</v>
      </c>
      <c r="B62" s="162">
        <f ca="1">OFFSET(飽和表集!C62,0,10*参照飽和表!$C$1,)</f>
        <v>4.1764999999999999</v>
      </c>
      <c r="C62" s="163">
        <f ca="1">OFFSET(飽和表集!D62,0,10*参照飽和表!$C$1,)</f>
        <v>0</v>
      </c>
      <c r="D62" s="162">
        <f ca="1">OFFSET(飽和表集!E62,0,10*参照飽和表!$C$1,)</f>
        <v>1.1330999999999999E-3</v>
      </c>
      <c r="E62" s="163">
        <f ca="1">OFFSET(飽和表集!F62,0,10*参照飽和表!$C$1,)</f>
        <v>8.1737000000000008E-3</v>
      </c>
      <c r="F62" s="164">
        <f ca="1">OFFSET(飽和表集!G62,0,10*参照飽和表!$C$1,)</f>
        <v>217.69</v>
      </c>
      <c r="G62" s="165">
        <f ca="1">OFFSET(飽和表集!H62,0,10*参照飽和表!$C$1,)</f>
        <v>425.81</v>
      </c>
      <c r="H62" s="164">
        <f ca="1">OFFSET(飽和表集!I62,0,10*参照飽和表!$C$1,)</f>
        <v>1.0611999999999999</v>
      </c>
      <c r="I62" s="165">
        <f ca="1">OFFSET(飽和表集!J62,0,10*参照飽和表!$C$1,)</f>
        <v>1.8041</v>
      </c>
    </row>
    <row r="63" spans="1:9" x14ac:dyDescent="0.4">
      <c r="A63" s="44">
        <f ca="1">OFFSET(飽和表集!B63,0,10*参照飽和表!$C$1,)</f>
        <v>8</v>
      </c>
      <c r="B63" s="157">
        <f ca="1">OFFSET(飽和表集!C63,0,10*参照飽和表!$C$1,)</f>
        <v>4.2831000000000001</v>
      </c>
      <c r="C63" s="158">
        <f ca="1">OFFSET(飽和表集!D63,0,10*参照飽和表!$C$1,)</f>
        <v>0</v>
      </c>
      <c r="D63" s="159">
        <f ca="1">OFFSET(飽和表集!E63,0,10*参照飽和表!$C$1,)</f>
        <v>1.1421000000000001E-3</v>
      </c>
      <c r="E63" s="160">
        <f ca="1">OFFSET(飽和表集!F63,0,10*参照飽和表!$C$1,)</f>
        <v>7.9089E-3</v>
      </c>
      <c r="F63" s="161">
        <f ca="1">OFFSET(飽和表集!G63,0,10*参照飽和表!$C$1,)</f>
        <v>220.34</v>
      </c>
      <c r="G63" s="158">
        <f ca="1">OFFSET(飽和表集!H63,0,10*参照飽和表!$C$1,)</f>
        <v>424.89</v>
      </c>
      <c r="H63" s="159">
        <f ca="1">OFFSET(飽和表集!I63,0,10*参照飽和表!$C$1,)</f>
        <v>1.0702</v>
      </c>
      <c r="I63" s="158">
        <f ca="1">OFFSET(飽和表集!J63,0,10*参照飽和表!$C$1,)</f>
        <v>1.7977000000000001</v>
      </c>
    </row>
    <row r="64" spans="1:9" x14ac:dyDescent="0.4">
      <c r="A64" s="45">
        <f ca="1">OFFSET(飽和表集!B64,0,10*参照飽和表!$C$1,)</f>
        <v>9</v>
      </c>
      <c r="B64" s="162">
        <f ca="1">OFFSET(飽和表集!C64,0,10*参照飽和表!$C$1,)</f>
        <v>4.3916000000000004</v>
      </c>
      <c r="C64" s="163">
        <f ca="1">OFFSET(飽和表集!D64,0,10*参照飽和表!$C$1,)</f>
        <v>0</v>
      </c>
      <c r="D64" s="162">
        <f ca="1">OFFSET(飽和表集!E64,0,10*参照飽和表!$C$1,)</f>
        <v>1.1515E-3</v>
      </c>
      <c r="E64" s="163">
        <f ca="1">OFFSET(飽和表集!F64,0,10*参照飽和表!$C$1,)</f>
        <v>7.6508000000000001E-3</v>
      </c>
      <c r="F64" s="164">
        <f ca="1">OFFSET(飽和表集!G64,0,10*参照飽和表!$C$1,)</f>
        <v>223.01</v>
      </c>
      <c r="G64" s="165">
        <f ca="1">OFFSET(飽和表集!H64,0,10*参照飽和表!$C$1,)</f>
        <v>423.92</v>
      </c>
      <c r="H64" s="164">
        <f ca="1">OFFSET(飽和表集!I64,0,10*参照飽和表!$C$1,)</f>
        <v>1.0791999999999999</v>
      </c>
      <c r="I64" s="165">
        <f ca="1">OFFSET(飽和表集!J64,0,10*参照飽和表!$C$1,)</f>
        <v>1.7912999999999999</v>
      </c>
    </row>
    <row r="65" spans="1:9" x14ac:dyDescent="0.4">
      <c r="A65" s="44">
        <f ca="1">OFFSET(飽和表集!B65,0,10*参照飽和表!$C$1,)</f>
        <v>10</v>
      </c>
      <c r="B65" s="157">
        <f ca="1">OFFSET(飽和表集!C65,0,10*参照飽和表!$C$1,)</f>
        <v>4.5022000000000002</v>
      </c>
      <c r="C65" s="158">
        <f ca="1">OFFSET(飽和表集!D65,0,10*参照飽和表!$C$1,)</f>
        <v>0</v>
      </c>
      <c r="D65" s="159">
        <f ca="1">OFFSET(飽和表集!E65,0,10*参照飽和表!$C$1,)</f>
        <v>1.1613000000000001E-3</v>
      </c>
      <c r="E65" s="160">
        <f ca="1">OFFSET(飽和表集!F65,0,10*参照飽和表!$C$1,)</f>
        <v>7.3987999999999996E-3</v>
      </c>
      <c r="F65" s="161">
        <f ca="1">OFFSET(飽和表集!G65,0,10*参照飽和表!$C$1,)</f>
        <v>225.73</v>
      </c>
      <c r="G65" s="158">
        <f ca="1">OFFSET(飽和表集!H65,0,10*参照飽和表!$C$1,)</f>
        <v>422.88</v>
      </c>
      <c r="H65" s="159">
        <f ca="1">OFFSET(飽和表集!I65,0,10*参照飽和表!$C$1,)</f>
        <v>1.0884</v>
      </c>
      <c r="I65" s="158">
        <f ca="1">OFFSET(飽和表集!J65,0,10*参照飽和表!$C$1,)</f>
        <v>1.7847</v>
      </c>
    </row>
    <row r="66" spans="1:9" x14ac:dyDescent="0.4">
      <c r="A66" s="45">
        <f ca="1">OFFSET(飽和表集!B66,0,10*参照飽和表!$C$1,)</f>
        <v>11</v>
      </c>
      <c r="B66" s="162">
        <f ca="1">OFFSET(飽和表集!C66,0,10*参照飽和表!$C$1,)</f>
        <v>4.6148999999999996</v>
      </c>
      <c r="C66" s="163">
        <f ca="1">OFFSET(飽和表集!D66,0,10*参照飽和表!$C$1,)</f>
        <v>0</v>
      </c>
      <c r="D66" s="162">
        <f ca="1">OFFSET(飽和表集!E66,0,10*参照飽和表!$C$1,)</f>
        <v>1.1715E-3</v>
      </c>
      <c r="E66" s="163">
        <f ca="1">OFFSET(飽和表集!F66,0,10*参照飽和表!$C$1,)</f>
        <v>7.1528E-3</v>
      </c>
      <c r="F66" s="164">
        <f ca="1">OFFSET(飽和表集!G66,0,10*参照飽和表!$C$1,)</f>
        <v>228.49</v>
      </c>
      <c r="G66" s="165">
        <f ca="1">OFFSET(飽和表集!H66,0,10*参照飽和表!$C$1,)</f>
        <v>421.79</v>
      </c>
      <c r="H66" s="164">
        <f ca="1">OFFSET(飽和表集!I66,0,10*参照飽和表!$C$1,)</f>
        <v>1.0975999999999999</v>
      </c>
      <c r="I66" s="165">
        <f ca="1">OFFSET(飽和表集!J66,0,10*参照飽和表!$C$1,)</f>
        <v>1.7779</v>
      </c>
    </row>
    <row r="67" spans="1:9" x14ac:dyDescent="0.4">
      <c r="A67" s="44">
        <f ca="1">OFFSET(飽和表集!B67,0,10*参照飽和表!$C$1,)</f>
        <v>12</v>
      </c>
      <c r="B67" s="157">
        <f ca="1">OFFSET(飽和表集!C67,0,10*参照飽和表!$C$1,)</f>
        <v>4.7297000000000002</v>
      </c>
      <c r="C67" s="158">
        <f ca="1">OFFSET(飽和表集!D67,0,10*参照飽和表!$C$1,)</f>
        <v>0</v>
      </c>
      <c r="D67" s="159">
        <f ca="1">OFFSET(飽和表集!E67,0,10*参照飽和表!$C$1,)</f>
        <v>1.1822E-3</v>
      </c>
      <c r="E67" s="160">
        <f ca="1">OFFSET(飽和表集!F67,0,10*参照飽和表!$C$1,)</f>
        <v>6.9125000000000002E-3</v>
      </c>
      <c r="F67" s="161">
        <f ca="1">OFFSET(飽和表集!G67,0,10*参照飽和表!$C$1,)</f>
        <v>231.29</v>
      </c>
      <c r="G67" s="158">
        <f ca="1">OFFSET(飽和表集!H67,0,10*参照飽和表!$C$1,)</f>
        <v>420.62</v>
      </c>
      <c r="H67" s="159">
        <f ca="1">OFFSET(飽和表集!I67,0,10*参照飽和表!$C$1,)</f>
        <v>1.107</v>
      </c>
      <c r="I67" s="158">
        <f ca="1">OFFSET(飽和表集!J67,0,10*参照飽和表!$C$1,)</f>
        <v>1.7709999999999999</v>
      </c>
    </row>
    <row r="68" spans="1:9" x14ac:dyDescent="0.4">
      <c r="A68" s="45">
        <f ca="1">OFFSET(飽和表集!B68,0,10*参照飽和表!$C$1,)</f>
        <v>13</v>
      </c>
      <c r="B68" s="162">
        <f ca="1">OFFSET(飽和表集!C68,0,10*参照飽和表!$C$1,)</f>
        <v>4.8465999999999996</v>
      </c>
      <c r="C68" s="163">
        <f ca="1">OFFSET(飽和表集!D68,0,10*参照飽和表!$C$1,)</f>
        <v>0</v>
      </c>
      <c r="D68" s="162">
        <f ca="1">OFFSET(飽和表集!E68,0,10*参照飽和表!$C$1,)</f>
        <v>1.1934000000000001E-3</v>
      </c>
      <c r="E68" s="163">
        <f ca="1">OFFSET(飽和表集!F68,0,10*参照飽和表!$C$1,)</f>
        <v>6.6774E-3</v>
      </c>
      <c r="F68" s="164">
        <f ca="1">OFFSET(飽和表集!G68,0,10*参照飽和表!$C$1,)</f>
        <v>234.13</v>
      </c>
      <c r="G68" s="165">
        <f ca="1">OFFSET(飽和表集!H68,0,10*参照飽和表!$C$1,)</f>
        <v>419.37</v>
      </c>
      <c r="H68" s="164">
        <f ca="1">OFFSET(飽和表集!I68,0,10*参照飽和表!$C$1,)</f>
        <v>1.1165</v>
      </c>
      <c r="I68" s="165">
        <f ca="1">OFFSET(飽和表集!J68,0,10*参照飽和表!$C$1,)</f>
        <v>1.7638</v>
      </c>
    </row>
    <row r="69" spans="1:9" x14ac:dyDescent="0.4">
      <c r="A69" s="44">
        <f ca="1">OFFSET(飽和表集!B69,0,10*参照飽和表!$C$1,)</f>
        <v>14</v>
      </c>
      <c r="B69" s="157">
        <f ca="1">OFFSET(飽和表集!C69,0,10*参照飽和表!$C$1,)</f>
        <v>4.9657999999999998</v>
      </c>
      <c r="C69" s="158">
        <f ca="1">OFFSET(飽和表集!D69,0,10*参照飽和表!$C$1,)</f>
        <v>0</v>
      </c>
      <c r="D69" s="159">
        <f ca="1">OFFSET(飽和表集!E69,0,10*参照飽和表!$C$1,)</f>
        <v>1.2053000000000001E-3</v>
      </c>
      <c r="E69" s="160">
        <f ca="1">OFFSET(飽和表集!F69,0,10*参照飽和表!$C$1,)</f>
        <v>6.4472000000000002E-3</v>
      </c>
      <c r="F69" s="161">
        <f ca="1">OFFSET(飽和表集!G69,0,10*参照飽和表!$C$1,)</f>
        <v>237.03</v>
      </c>
      <c r="G69" s="158">
        <f ca="1">OFFSET(飽和表集!H69,0,10*参照飽和表!$C$1,)</f>
        <v>418.05</v>
      </c>
      <c r="H69" s="159">
        <f ca="1">OFFSET(飽和表集!I69,0,10*参照飽和表!$C$1,)</f>
        <v>1.1261000000000001</v>
      </c>
      <c r="I69" s="158">
        <f ca="1">OFFSET(飽和表集!J69,0,10*参照飽和表!$C$1,)</f>
        <v>1.5649999999999999</v>
      </c>
    </row>
    <row r="70" spans="1:9" x14ac:dyDescent="0.4">
      <c r="A70" s="45">
        <f ca="1">OFFSET(飽和表集!B70,0,10*参照飽和表!$C$1,)</f>
        <v>15</v>
      </c>
      <c r="B70" s="162">
        <f ca="1">OFFSET(飽和表集!C70,0,10*参照飽和表!$C$1,)</f>
        <v>5.0871000000000004</v>
      </c>
      <c r="C70" s="163">
        <f ca="1">OFFSET(飽和表集!D70,0,10*参照飽和表!$C$1,)</f>
        <v>0</v>
      </c>
      <c r="D70" s="162">
        <f ca="1">OFFSET(飽和表集!E70,0,10*参照飽和表!$C$1,)</f>
        <v>1.2176999999999999E-3</v>
      </c>
      <c r="E70" s="163">
        <f ca="1">OFFSET(飽和表集!F70,0,10*参照飽和表!$C$1,)</f>
        <v>6.2215999999999999E-3</v>
      </c>
      <c r="F70" s="164">
        <f ca="1">OFFSET(飽和表集!G70,0,10*参照飽和表!$C$1,)</f>
        <v>239.99</v>
      </c>
      <c r="G70" s="165">
        <f ca="1">OFFSET(飽和表集!H70,0,10*参照飽和表!$C$1,)</f>
        <v>416.64</v>
      </c>
      <c r="H70" s="164">
        <f ca="1">OFFSET(飽和表集!I70,0,10*参照飽和表!$C$1,)</f>
        <v>1.1358999999999999</v>
      </c>
      <c r="I70" s="165">
        <f ca="1">OFFSET(飽和表集!J70,0,10*参照飽和表!$C$1,)</f>
        <v>1.7488999999999999</v>
      </c>
    </row>
    <row r="71" spans="1:9" x14ac:dyDescent="0.4">
      <c r="A71" s="44">
        <f ca="1">OFFSET(飽和表集!B71,0,10*参照飽和表!$C$1,)</f>
        <v>16</v>
      </c>
      <c r="B71" s="157">
        <f ca="1">OFFSET(飽和表集!C71,0,10*参照飽和表!$C$1,)</f>
        <v>5.2107999999999999</v>
      </c>
      <c r="C71" s="158">
        <f ca="1">OFFSET(飽和表集!D71,0,10*参照飽和表!$C$1,)</f>
        <v>0</v>
      </c>
      <c r="D71" s="159">
        <f ca="1">OFFSET(飽和表集!E71,0,10*参照飽和表!$C$1,)</f>
        <v>1.2309E-3</v>
      </c>
      <c r="E71" s="160">
        <f ca="1">OFFSET(飽和表集!F71,0,10*参照飽和表!$C$1,)</f>
        <v>6.0003000000000001E-3</v>
      </c>
      <c r="F71" s="161">
        <f ca="1">OFFSET(飽和表集!G71,0,10*参照飽和表!$C$1,)</f>
        <v>243.01</v>
      </c>
      <c r="G71" s="158">
        <f ca="1">OFFSET(飽和表集!H71,0,10*参照飽和表!$C$1,)</f>
        <v>415.12</v>
      </c>
      <c r="H71" s="159">
        <f ca="1">OFFSET(飽和表集!I71,0,10*参照飽和表!$C$1,)</f>
        <v>1.1457999999999999</v>
      </c>
      <c r="I71" s="158">
        <f ca="1">OFFSET(飽和表集!J71,0,10*参照飽和表!$C$1,)</f>
        <v>1.7411000000000001</v>
      </c>
    </row>
    <row r="72" spans="1:9" x14ac:dyDescent="0.4">
      <c r="A72" s="45">
        <f ca="1">OFFSET(飽和表集!B72,0,10*参照飽和表!$C$1,)</f>
        <v>17</v>
      </c>
      <c r="B72" s="162">
        <f ca="1">OFFSET(飽和表集!C72,0,10*参照飽和表!$C$1,)</f>
        <v>5.3368000000000002</v>
      </c>
      <c r="C72" s="163">
        <f ca="1">OFFSET(飽和表集!D72,0,10*参照飽和表!$C$1,)</f>
        <v>0</v>
      </c>
      <c r="D72" s="162">
        <f ca="1">OFFSET(飽和表集!E72,0,10*参照飽和表!$C$1,)</f>
        <v>1.2449E-3</v>
      </c>
      <c r="E72" s="163">
        <f ca="1">OFFSET(飽和表集!F72,0,10*参照飽和表!$C$1,)</f>
        <v>5.7828000000000003E-3</v>
      </c>
      <c r="F72" s="164">
        <f ca="1">OFFSET(飽和表集!G72,0,10*参照飽和表!$C$1,)</f>
        <v>246.1</v>
      </c>
      <c r="G72" s="165">
        <f ca="1">OFFSET(飽和表集!H72,0,10*参照飽和表!$C$1,)</f>
        <v>413.5</v>
      </c>
      <c r="H72" s="164">
        <f ca="1">OFFSET(飽和表集!I72,0,10*参照飽和表!$C$1,)</f>
        <v>1.1558999999999999</v>
      </c>
      <c r="I72" s="165">
        <f ca="1">OFFSET(飽和表集!J72,0,10*参照飽和表!$C$1,)</f>
        <v>1.7329000000000001</v>
      </c>
    </row>
    <row r="73" spans="1:9" x14ac:dyDescent="0.4">
      <c r="A73" s="44">
        <f ca="1">OFFSET(飽和表集!B73,0,10*参照飽和表!$C$1,)</f>
        <v>18</v>
      </c>
      <c r="B73" s="157">
        <f ca="1">OFFSET(飽和表集!C73,0,10*参照飽和表!$C$1,)</f>
        <v>5.4650999999999996</v>
      </c>
      <c r="C73" s="158">
        <f ca="1">OFFSET(飽和表集!D73,0,10*参照飽和表!$C$1,)</f>
        <v>0</v>
      </c>
      <c r="D73" s="159">
        <f ca="1">OFFSET(飽和表集!E73,0,10*参照飽和表!$C$1,)</f>
        <v>1.2597999999999999E-3</v>
      </c>
      <c r="E73" s="160">
        <f ca="1">OFFSET(飽和表集!F73,0,10*参照飽和表!$C$1,)</f>
        <v>5.5687999999999996E-3</v>
      </c>
      <c r="F73" s="161">
        <f ca="1">OFFSET(飽和表集!G73,0,10*参照飽和表!$C$1,)</f>
        <v>249.26</v>
      </c>
      <c r="G73" s="158">
        <f ca="1">OFFSET(飽和表集!H73,0,10*参照飽和表!$C$1,)</f>
        <v>411.76</v>
      </c>
      <c r="H73" s="159">
        <f ca="1">OFFSET(飽和表集!I73,0,10*参照飽和表!$C$1,)</f>
        <v>1.1662999999999999</v>
      </c>
      <c r="I73" s="158">
        <f ca="1">OFFSET(飽和表集!J73,0,10*参照飽和表!$C$1,)</f>
        <v>1.7243999999999999</v>
      </c>
    </row>
    <row r="74" spans="1:9" x14ac:dyDescent="0.4">
      <c r="A74" s="45">
        <f ca="1">OFFSET(飽和表集!B74,0,10*参照飽和表!$C$1,)</f>
        <v>19</v>
      </c>
      <c r="B74" s="162">
        <f ca="1">OFFSET(飽和表集!C74,0,10*参照飽和表!$C$1,)</f>
        <v>5.5957999999999997</v>
      </c>
      <c r="C74" s="163">
        <f ca="1">OFFSET(飽和表集!D74,0,10*参照飽和表!$C$1,)</f>
        <v>0</v>
      </c>
      <c r="D74" s="162">
        <f ca="1">OFFSET(飽和表集!E74,0,10*参照飽和表!$C$1,)</f>
        <v>1.2757999999999999E-3</v>
      </c>
      <c r="E74" s="163">
        <f ca="1">OFFSET(飽和表集!F74,0,10*参照飽和表!$C$1,)</f>
        <v>5.3578000000000002E-3</v>
      </c>
      <c r="F74" s="164">
        <f ca="1">OFFSET(飽和表集!G74,0,10*参照飽和表!$C$1,)</f>
        <v>252.52</v>
      </c>
      <c r="G74" s="165">
        <f ca="1">OFFSET(飽和表集!H74,0,10*参照飽和表!$C$1,)</f>
        <v>409.89</v>
      </c>
      <c r="H74" s="164">
        <f ca="1">OFFSET(飽和表集!I74,0,10*参照飽和表!$C$1,)</f>
        <v>1.1769000000000001</v>
      </c>
      <c r="I74" s="165">
        <f ca="1">OFFSET(飽和表集!J74,0,10*参照飽和表!$C$1,)</f>
        <v>1.7155</v>
      </c>
    </row>
    <row r="75" spans="1:9" x14ac:dyDescent="0.4">
      <c r="A75" s="44">
        <f ca="1">OFFSET(飽和表集!B75,0,10*参照飽和表!$C$1,)</f>
        <v>20</v>
      </c>
      <c r="B75" s="157">
        <f ca="1">OFFSET(飽和表集!C75,0,10*参照飽和表!$C$1,)</f>
        <v>5.7290999999999999</v>
      </c>
      <c r="C75" s="158">
        <f ca="1">OFFSET(飽和表集!D75,0,10*参照飽和表!$C$1,)</f>
        <v>0</v>
      </c>
      <c r="D75" s="159">
        <f ca="1">OFFSET(飽和表集!E75,0,10*参照飽和表!$C$1,)</f>
        <v>1.2930000000000001E-3</v>
      </c>
      <c r="E75" s="160">
        <f ca="1">OFFSET(飽和表集!F75,0,10*参照飽和表!$C$1,)</f>
        <v>5.1492999999999999E-3</v>
      </c>
      <c r="F75" s="161">
        <f ca="1">OFFSET(飽和表集!G75,0,10*参照飽和表!$C$1,)</f>
        <v>255.87</v>
      </c>
      <c r="G75" s="158">
        <f ca="1">OFFSET(飽和表集!H75,0,10*参照飽和表!$C$1,)</f>
        <v>407.87</v>
      </c>
      <c r="H75" s="159">
        <f ca="1">OFFSET(飽和表集!I75,0,10*参照飽和表!$C$1,)</f>
        <v>1.1877</v>
      </c>
      <c r="I75" s="158">
        <f ca="1">OFFSET(飽和表集!J75,0,10*参照飽和表!$C$1,)</f>
        <v>1.7061999999999999</v>
      </c>
    </row>
    <row r="76" spans="1:9" x14ac:dyDescent="0.4">
      <c r="A76" s="45">
        <f ca="1">OFFSET(飽和表集!B76,0,10*参照飽和表!$C$1,)</f>
        <v>21</v>
      </c>
      <c r="B76" s="162">
        <f ca="1">OFFSET(飽和表集!C76,0,10*参照飽和表!$C$1,)</f>
        <v>5.8647999999999998</v>
      </c>
      <c r="C76" s="163">
        <f ca="1">OFFSET(飽和表集!D76,0,10*参照飽和表!$C$1,)</f>
        <v>0</v>
      </c>
      <c r="D76" s="162">
        <f ca="1">OFFSET(飽和表集!E76,0,10*参照飽和表!$C$1,)</f>
        <v>1.3116E-3</v>
      </c>
      <c r="E76" s="163">
        <f ca="1">OFFSET(飽和表集!F76,0,10*参照飽和表!$C$1,)</f>
        <v>4.9427000000000004E-3</v>
      </c>
      <c r="F76" s="164">
        <f ca="1">OFFSET(飽和表集!G76,0,10*参照飽和表!$C$1,)</f>
        <v>259.33</v>
      </c>
      <c r="G76" s="165">
        <f ca="1">OFFSET(飽和表集!H76,0,10*参照飽和表!$C$1,)</f>
        <v>405.67</v>
      </c>
      <c r="H76" s="164">
        <f ca="1">OFFSET(飽和表集!I76,0,10*参照飽和表!$C$1,)</f>
        <v>1.1989000000000001</v>
      </c>
      <c r="I76" s="165">
        <f ca="1">OFFSET(飽和表集!J76,0,10*参照飽和表!$C$1,)</f>
        <v>1.6963999999999999</v>
      </c>
    </row>
    <row r="77" spans="1:9" x14ac:dyDescent="0.4">
      <c r="A77" s="44">
        <f ca="1">OFFSET(飽和表集!B77,0,10*参照飽和表!$C$1,)</f>
        <v>22</v>
      </c>
      <c r="B77" s="157">
        <f ca="1">OFFSET(飽和表集!C77,0,10*参照飽和表!$C$1,)</f>
        <v>6.0030999999999999</v>
      </c>
      <c r="C77" s="158">
        <f ca="1">OFFSET(飽和表集!D77,0,10*参照飽和表!$C$1,)</f>
        <v>0</v>
      </c>
      <c r="D77" s="159">
        <f ca="1">OFFSET(飽和表集!E77,0,10*参照飽和表!$C$1,)</f>
        <v>1.3320000000000001E-3</v>
      </c>
      <c r="E77" s="160">
        <f ca="1">OFFSET(飽和表集!F77,0,10*参照飽和表!$C$1,)</f>
        <v>4.7375000000000004E-3</v>
      </c>
      <c r="F77" s="161">
        <f ca="1">OFFSET(飽和表集!G77,0,10*参照飽和表!$C$1,)</f>
        <v>262.93</v>
      </c>
      <c r="G77" s="158">
        <f ca="1">OFFSET(飽和表集!H77,0,10*参照飽和表!$C$1,)</f>
        <v>403.26</v>
      </c>
      <c r="H77" s="159">
        <f ca="1">OFFSET(飽和表集!I77,0,10*参照飽和表!$C$1,)</f>
        <v>1.2104999999999999</v>
      </c>
      <c r="I77" s="158">
        <f ca="1">OFFSET(飽和表集!J77,0,10*参照飽和表!$C$1,)</f>
        <v>1.6859999999999999</v>
      </c>
    </row>
    <row r="78" spans="1:9" x14ac:dyDescent="0.4">
      <c r="A78" s="45">
        <f ca="1">OFFSET(飽和表集!B78,0,10*参照飽和表!$C$1,)</f>
        <v>23</v>
      </c>
      <c r="B78" s="162">
        <f ca="1">OFFSET(飽和表集!C78,0,10*参照飽和表!$C$1,)</f>
        <v>6.1440000000000001</v>
      </c>
      <c r="C78" s="163">
        <f ca="1">OFFSET(飽和表集!D78,0,10*参照飽和表!$C$1,)</f>
        <v>0</v>
      </c>
      <c r="D78" s="162">
        <f ca="1">OFFSET(飽和表集!E78,0,10*参照飽和表!$C$1,)</f>
        <v>1.3542999999999999E-3</v>
      </c>
      <c r="E78" s="163">
        <f ca="1">OFFSET(飽和表集!F78,0,10*参照飽和表!$C$1,)</f>
        <v>4.5326000000000003E-3</v>
      </c>
      <c r="F78" s="164">
        <f ca="1">OFFSET(飽和表集!G78,0,10*参照飽和表!$C$1,)</f>
        <v>266.68</v>
      </c>
      <c r="G78" s="165">
        <f ca="1">OFFSET(飽和表集!H78,0,10*参照飽和表!$C$1,)</f>
        <v>400.63</v>
      </c>
      <c r="H78" s="164">
        <f ca="1">OFFSET(飽和表集!I78,0,10*参照飽和表!$C$1,)</f>
        <v>1.2224999999999999</v>
      </c>
      <c r="I78" s="165">
        <f ca="1">OFFSET(飽和表集!J78,0,10*参照飽和表!$C$1,)</f>
        <v>1.6749000000000001</v>
      </c>
    </row>
    <row r="79" spans="1:9" x14ac:dyDescent="0.4">
      <c r="A79" s="44">
        <f ca="1">OFFSET(飽和表集!B79,0,10*参照飽和表!$C$1,)</f>
        <v>24</v>
      </c>
      <c r="B79" s="157">
        <f ca="1">OFFSET(飽和表集!C79,0,10*参照飽和表!$C$1,)</f>
        <v>6.2877000000000001</v>
      </c>
      <c r="C79" s="158">
        <f ca="1">OFFSET(飽和表集!D79,0,10*参照飽和表!$C$1,)</f>
        <v>0</v>
      </c>
      <c r="D79" s="159">
        <f ca="1">OFFSET(飽和表集!E79,0,10*参照飽和表!$C$1,)</f>
        <v>1.3793E-3</v>
      </c>
      <c r="E79" s="160">
        <f ca="1">OFFSET(飽和表集!F79,0,10*参照飽和表!$C$1,)</f>
        <v>4.3271999999999998E-3</v>
      </c>
      <c r="F79" s="161">
        <f ca="1">OFFSET(飽和表集!G79,0,10*参照飽和表!$C$1,)</f>
        <v>270.61</v>
      </c>
      <c r="G79" s="158">
        <f ca="1">OFFSET(飽和表集!H79,0,10*参照飽和表!$C$1,)</f>
        <v>397.7</v>
      </c>
      <c r="H79" s="159">
        <f ca="1">OFFSET(飽和表集!I79,0,10*参照飽和表!$C$1,)</f>
        <v>1.2352000000000001</v>
      </c>
      <c r="I79" s="158">
        <f ca="1">OFFSET(飽和表集!J79,0,10*参照飽和表!$C$1,)</f>
        <v>1.6629</v>
      </c>
    </row>
    <row r="80" spans="1:9" x14ac:dyDescent="0.4">
      <c r="A80" s="45">
        <f ca="1">OFFSET(飽和表集!B80,0,10*参照飽和表!$C$1,)</f>
        <v>25</v>
      </c>
      <c r="B80" s="162">
        <f ca="1">OFFSET(飽和表集!C80,0,10*参照飽和表!$C$1,)</f>
        <v>6.4341999999999997</v>
      </c>
      <c r="C80" s="163">
        <f ca="1">OFFSET(飽和表集!D80,0,10*参照飽和表!$C$1,)</f>
        <v>0</v>
      </c>
      <c r="D80" s="162">
        <f ca="1">OFFSET(飽和表集!E80,0,10*参照飽和表!$C$1,)</f>
        <v>1.4074999999999999E-3</v>
      </c>
      <c r="E80" s="163">
        <f ca="1">OFFSET(飽和表集!F80,0,10*参照飽和表!$C$1,)</f>
        <v>4.1197999999999999E-3</v>
      </c>
      <c r="F80" s="164">
        <f ca="1">OFFSET(飽和表集!G80,0,10*参照飽和表!$C$1,)</f>
        <v>274.77999999999997</v>
      </c>
      <c r="G80" s="165">
        <f ca="1">OFFSET(飽和表集!H80,0,10*参照飽和表!$C$1,)</f>
        <v>394.43</v>
      </c>
      <c r="H80" s="164">
        <f ca="1">OFFSET(飽和表集!I80,0,10*参照飽和表!$C$1,)</f>
        <v>1.2484999999999999</v>
      </c>
      <c r="I80" s="165">
        <f ca="1">OFFSET(飽和表集!J80,0,10*参照飽和表!$C$1,)</f>
        <v>1.6497999999999999</v>
      </c>
    </row>
    <row r="81" spans="1:9" x14ac:dyDescent="0.4">
      <c r="A81" s="44">
        <f ca="1">OFFSET(飽和表集!B81,0,10*参照飽和表!$C$1,)</f>
        <v>26</v>
      </c>
      <c r="B81" s="157">
        <f ca="1">OFFSET(飽和表集!C81,0,10*参照飽和表!$C$1,)</f>
        <v>6.5837000000000003</v>
      </c>
      <c r="C81" s="158">
        <f ca="1">OFFSET(飽和表集!D81,0,10*参照飽和表!$C$1,)</f>
        <v>0</v>
      </c>
      <c r="D81" s="159">
        <f ca="1">OFFSET(飽和表集!E81,0,10*参照飽和表!$C$1,)</f>
        <v>1.4400000000000001E-3</v>
      </c>
      <c r="E81" s="160">
        <f ca="1">OFFSET(飽和表集!F81,0,10*参照飽和表!$C$1,)</f>
        <v>3.9083E-3</v>
      </c>
      <c r="F81" s="161">
        <f ca="1">OFFSET(飽和表集!G81,0,10*参照飽和表!$C$1,)</f>
        <v>279.26</v>
      </c>
      <c r="G81" s="158">
        <f ca="1">OFFSET(飽和表集!H81,0,10*参照飽和表!$C$1,)</f>
        <v>390.71</v>
      </c>
      <c r="H81" s="159">
        <f ca="1">OFFSET(飽和表集!I81,0,10*参照飽和表!$C$1,)</f>
        <v>1.2626999999999999</v>
      </c>
      <c r="I81" s="158">
        <f ca="1">OFFSET(飽和表集!J81,0,10*参照飽和表!$C$1,)</f>
        <v>1.6353</v>
      </c>
    </row>
    <row r="82" spans="1:9" x14ac:dyDescent="0.4">
      <c r="A82" s="45">
        <f ca="1">OFFSET(飽和表集!B82,0,10*参照飽和表!$C$1,)</f>
        <v>27</v>
      </c>
      <c r="B82" s="162">
        <f ca="1">OFFSET(飽和表集!C82,0,10*参照飽和表!$C$1,)</f>
        <v>6.7361000000000004</v>
      </c>
      <c r="C82" s="163">
        <f ca="1">OFFSET(飽和表集!D82,0,10*参照飽和表!$C$1,)</f>
        <v>0</v>
      </c>
      <c r="D82" s="162">
        <f ca="1">OFFSET(飽和表集!E82,0,10*参照飽和表!$C$1,)</f>
        <v>1.4785E-3</v>
      </c>
      <c r="E82" s="163">
        <f ca="1">OFFSET(飽和表集!F82,0,10*参照飽和表!$C$1,)</f>
        <v>3.6898E-3</v>
      </c>
      <c r="F82" s="164">
        <f ca="1">OFFSET(飽和表集!G82,0,10*参照飽和表!$C$1,)</f>
        <v>284.14</v>
      </c>
      <c r="G82" s="165">
        <f ca="1">OFFSET(飽和表集!H82,0,10*参照飽和表!$C$1,)</f>
        <v>386.39</v>
      </c>
      <c r="H82" s="164">
        <f ca="1">OFFSET(飽和表集!I82,0,10*参照飽和表!$C$1,)</f>
        <v>1.2783</v>
      </c>
      <c r="I82" s="165">
        <f ca="1">OFFSET(飽和表集!J82,0,10*参照飽和表!$C$1,)</f>
        <v>1.6189</v>
      </c>
    </row>
    <row r="83" spans="1:9" x14ac:dyDescent="0.4">
      <c r="A83" s="44">
        <f ca="1">OFFSET(飽和表集!B83,0,10*参照飽和表!$C$1,)</f>
        <v>28</v>
      </c>
      <c r="B83" s="157">
        <f ca="1">OFFSET(飽和表集!C83,0,10*参照飽和表!$C$1,)</f>
        <v>6.8917999999999999</v>
      </c>
      <c r="C83" s="158">
        <f ca="1">OFFSET(飽和表集!D83,0,10*参照飽和表!$C$1,)</f>
        <v>0</v>
      </c>
      <c r="D83" s="159">
        <f ca="1">OFFSET(飽和表集!E83,0,10*参照飽和表!$C$1,)</f>
        <v>1.5261E-2</v>
      </c>
      <c r="E83" s="160">
        <f ca="1">OFFSET(飽和表集!F83,0,10*参照飽和表!$C$1,)</f>
        <v>3.4589E-3</v>
      </c>
      <c r="F83" s="161">
        <f ca="1">OFFSET(飽和表集!G83,0,10*参照飽和表!$C$1,)</f>
        <v>289.62</v>
      </c>
      <c r="G83" s="158">
        <f ca="1">OFFSET(飽和表集!H83,0,10*参照飽和表!$C$1,)</f>
        <v>381.2</v>
      </c>
      <c r="H83" s="159">
        <f ca="1">OFFSET(飽和表集!I83,0,10*参照飽和表!$C$1,)</f>
        <v>1.2958000000000001</v>
      </c>
      <c r="I83" s="158">
        <f ca="1">OFFSET(飽和表集!J83,0,10*参照飽和表!$C$1,)</f>
        <v>1.5999000000000001</v>
      </c>
    </row>
    <row r="84" spans="1:9" x14ac:dyDescent="0.4">
      <c r="A84" s="45">
        <f ca="1">OFFSET(飽和表集!B84,0,10*参照飽和表!$C$1,)</f>
        <v>29</v>
      </c>
      <c r="B84" s="162">
        <f ca="1">OFFSET(飽和表集!C84,0,10*参照飽和表!$C$1,)</f>
        <v>7.0509000000000004</v>
      </c>
      <c r="C84" s="163">
        <f ca="1">OFFSET(飽和表集!D84,0,10*参照飽和表!$C$1,)</f>
        <v>0</v>
      </c>
      <c r="D84" s="162">
        <f ca="1">OFFSET(飽和表集!E84,0,10*参照飽和表!$C$1,)</f>
        <v>1.5889000000000001E-3</v>
      </c>
      <c r="E84" s="163">
        <f ca="1">OFFSET(飽和表集!F84,0,10*参照飽和表!$C$1,)</f>
        <v>3.2047999999999998E-3</v>
      </c>
      <c r="F84" s="164">
        <f ca="1">OFFSET(飽和表集!G84,0,10*参照飽和表!$C$1,)</f>
        <v>296.07</v>
      </c>
      <c r="G84" s="165">
        <f ca="1">OFFSET(飽和表集!H84,0,10*参照飽和表!$C$1,)</f>
        <v>374.61</v>
      </c>
      <c r="H84" s="164">
        <f ca="1">OFFSET(飽和表集!I84,0,10*参照飽和表!$C$1,)</f>
        <v>1.3163</v>
      </c>
      <c r="I84" s="165">
        <f ca="1">OFFSET(飽和表集!J84,0,10*参照飽和表!$C$1,)</f>
        <v>1.5763</v>
      </c>
    </row>
    <row r="85" spans="1:9" x14ac:dyDescent="0.4">
      <c r="A85" s="44">
        <f ca="1">OFFSET(飽和表集!B85,0,10*参照飽和表!$C$1,)</f>
        <v>30</v>
      </c>
      <c r="B85" s="157">
        <f ca="1">OFFSET(飽和表集!C85,0,10*参照飽和表!$C$1,)</f>
        <v>7.2137000000000002</v>
      </c>
      <c r="C85" s="158">
        <f ca="1">OFFSET(飽和表集!D85,0,10*参照飽和表!$C$1,)</f>
        <v>0</v>
      </c>
      <c r="D85" s="159">
        <f ca="1">OFFSET(飽和表集!E85,0,10*参照飽和表!$C$1,)</f>
        <v>1.6854999999999999E-3</v>
      </c>
      <c r="E85" s="160">
        <f ca="1">OFFSET(飽和表集!F85,0,10*参照飽和表!$C$1,)</f>
        <v>2.8977E-3</v>
      </c>
      <c r="F85" s="161">
        <f ca="1">OFFSET(飽和表集!G85,0,10*参照飽和表!$C$1,)</f>
        <v>304.55</v>
      </c>
      <c r="G85" s="158">
        <f ca="1">OFFSET(飽和表集!H85,0,10*参照飽和表!$C$1,)</f>
        <v>365.13</v>
      </c>
      <c r="H85" s="159">
        <f ca="1">OFFSET(飽和表集!I85,0,10*参照飽和表!$C$1,)</f>
        <v>1.3434999999999999</v>
      </c>
      <c r="I85" s="158">
        <f ca="1">OFFSET(飽和表集!J85,0,10*参照飽和表!$C$1,)</f>
        <v>1.5432999999999999</v>
      </c>
    </row>
    <row r="86" spans="1:9" x14ac:dyDescent="0.4">
      <c r="A86" s="45">
        <f ca="1">OFFSET(飽和表集!B86,0,10*参照飽和表!$C$1,)</f>
        <v>0</v>
      </c>
      <c r="B86" s="162">
        <f ca="1">OFFSET(飽和表集!C86,0,10*参照飽和表!$C$1,)</f>
        <v>0</v>
      </c>
      <c r="C86" s="163">
        <f ca="1">OFFSET(飽和表集!D86,0,10*参照飽和表!$C$1,)</f>
        <v>0</v>
      </c>
      <c r="D86" s="162">
        <f ca="1">OFFSET(飽和表集!E86,0,10*参照飽和表!$C$1,)</f>
        <v>0</v>
      </c>
      <c r="E86" s="163">
        <f ca="1">OFFSET(飽和表集!F86,0,10*参照飽和表!$C$1,)</f>
        <v>0</v>
      </c>
      <c r="F86" s="164">
        <f ca="1">OFFSET(飽和表集!G86,0,10*参照飽和表!$C$1,)</f>
        <v>0</v>
      </c>
      <c r="G86" s="165">
        <f ca="1">OFFSET(飽和表集!H86,0,10*参照飽和表!$C$1,)</f>
        <v>0</v>
      </c>
      <c r="H86" s="164">
        <f ca="1">OFFSET(飽和表集!I86,0,10*参照飽和表!$C$1,)</f>
        <v>0</v>
      </c>
      <c r="I86" s="165">
        <f ca="1">OFFSET(飽和表集!J86,0,10*参照飽和表!$C$1,)</f>
        <v>0</v>
      </c>
    </row>
    <row r="87" spans="1:9" x14ac:dyDescent="0.4">
      <c r="A87" s="44">
        <f ca="1">OFFSET(飽和表集!B87,0,10*参照飽和表!$C$1,)</f>
        <v>0</v>
      </c>
      <c r="B87" s="157">
        <f ca="1">OFFSET(飽和表集!C87,0,10*参照飽和表!$C$1,)</f>
        <v>0</v>
      </c>
      <c r="C87" s="158">
        <f ca="1">OFFSET(飽和表集!D87,0,10*参照飽和表!$C$1,)</f>
        <v>0</v>
      </c>
      <c r="D87" s="159">
        <f ca="1">OFFSET(飽和表集!E87,0,10*参照飽和表!$C$1,)</f>
        <v>0</v>
      </c>
      <c r="E87" s="160">
        <f ca="1">OFFSET(飽和表集!F87,0,10*参照飽和表!$C$1,)</f>
        <v>0</v>
      </c>
      <c r="F87" s="161">
        <f ca="1">OFFSET(飽和表集!G87,0,10*参照飽和表!$C$1,)</f>
        <v>0</v>
      </c>
      <c r="G87" s="158">
        <f ca="1">OFFSET(飽和表集!H87,0,10*参照飽和表!$C$1,)</f>
        <v>0</v>
      </c>
      <c r="H87" s="159">
        <f ca="1">OFFSET(飽和表集!I87,0,10*参照飽和表!$C$1,)</f>
        <v>0</v>
      </c>
      <c r="I87" s="158">
        <f ca="1">OFFSET(飽和表集!J87,0,10*参照飽和表!$C$1,)</f>
        <v>0</v>
      </c>
    </row>
    <row r="88" spans="1:9" x14ac:dyDescent="0.4">
      <c r="A88" s="45">
        <f ca="1">OFFSET(飽和表集!B88,0,10*参照飽和表!$C$1,)</f>
        <v>0</v>
      </c>
      <c r="B88" s="162">
        <f ca="1">OFFSET(飽和表集!C88,0,10*参照飽和表!$C$1,)</f>
        <v>0</v>
      </c>
      <c r="C88" s="163">
        <f ca="1">OFFSET(飽和表集!D88,0,10*参照飽和表!$C$1,)</f>
        <v>0</v>
      </c>
      <c r="D88" s="162">
        <f ca="1">OFFSET(飽和表集!E88,0,10*参照飽和表!$C$1,)</f>
        <v>0</v>
      </c>
      <c r="E88" s="163">
        <f ca="1">OFFSET(飽和表集!F88,0,10*参照飽和表!$C$1,)</f>
        <v>0</v>
      </c>
      <c r="F88" s="164">
        <f ca="1">OFFSET(飽和表集!G88,0,10*参照飽和表!$C$1,)</f>
        <v>0</v>
      </c>
      <c r="G88" s="165">
        <f ca="1">OFFSET(飽和表集!H88,0,10*参照飽和表!$C$1,)</f>
        <v>0</v>
      </c>
      <c r="H88" s="164">
        <f ca="1">OFFSET(飽和表集!I88,0,10*参照飽和表!$C$1,)</f>
        <v>0</v>
      </c>
      <c r="I88" s="165">
        <f ca="1">OFFSET(飽和表集!J88,0,10*参照飽和表!$C$1,)</f>
        <v>0</v>
      </c>
    </row>
    <row r="89" spans="1:9" x14ac:dyDescent="0.4">
      <c r="A89" s="44">
        <f ca="1">OFFSET(飽和表集!B89,0,10*参照飽和表!$C$1,)</f>
        <v>0</v>
      </c>
      <c r="B89" s="157">
        <f ca="1">OFFSET(飽和表集!C89,0,10*参照飽和表!$C$1,)</f>
        <v>0</v>
      </c>
      <c r="C89" s="158">
        <f ca="1">OFFSET(飽和表集!D89,0,10*参照飽和表!$C$1,)</f>
        <v>0</v>
      </c>
      <c r="D89" s="159">
        <f ca="1">OFFSET(飽和表集!E89,0,10*参照飽和表!$C$1,)</f>
        <v>0</v>
      </c>
      <c r="E89" s="160">
        <f ca="1">OFFSET(飽和表集!F89,0,10*参照飽和表!$C$1,)</f>
        <v>0</v>
      </c>
      <c r="F89" s="161">
        <f ca="1">OFFSET(飽和表集!G89,0,10*参照飽和表!$C$1,)</f>
        <v>0</v>
      </c>
      <c r="G89" s="158">
        <f ca="1">OFFSET(飽和表集!H89,0,10*参照飽和表!$C$1,)</f>
        <v>0</v>
      </c>
      <c r="H89" s="159">
        <f ca="1">OFFSET(飽和表集!I89,0,10*参照飽和表!$C$1,)</f>
        <v>0</v>
      </c>
      <c r="I89" s="158">
        <f ca="1">OFFSET(飽和表集!J89,0,10*参照飽和表!$C$1,)</f>
        <v>0</v>
      </c>
    </row>
    <row r="90" spans="1:9" x14ac:dyDescent="0.4">
      <c r="A90" s="45">
        <f ca="1">OFFSET(飽和表集!B90,0,10*参照飽和表!$C$1,)</f>
        <v>0</v>
      </c>
      <c r="B90" s="162">
        <f ca="1">OFFSET(飽和表集!C90,0,10*参照飽和表!$C$1,)</f>
        <v>0</v>
      </c>
      <c r="C90" s="163">
        <f ca="1">OFFSET(飽和表集!D90,0,10*参照飽和表!$C$1,)</f>
        <v>0</v>
      </c>
      <c r="D90" s="162">
        <f ca="1">OFFSET(飽和表集!E90,0,10*参照飽和表!$C$1,)</f>
        <v>0</v>
      </c>
      <c r="E90" s="163">
        <f ca="1">OFFSET(飽和表集!F90,0,10*参照飽和表!$C$1,)</f>
        <v>0</v>
      </c>
      <c r="F90" s="164">
        <f ca="1">OFFSET(飽和表集!G90,0,10*参照飽和表!$C$1,)</f>
        <v>0</v>
      </c>
      <c r="G90" s="165">
        <f ca="1">OFFSET(飽和表集!H90,0,10*参照飽和表!$C$1,)</f>
        <v>0</v>
      </c>
      <c r="H90" s="164">
        <f ca="1">OFFSET(飽和表集!I90,0,10*参照飽和表!$C$1,)</f>
        <v>0</v>
      </c>
      <c r="I90" s="165">
        <f ca="1">OFFSET(飽和表集!J90,0,10*参照飽和表!$C$1,)</f>
        <v>0</v>
      </c>
    </row>
    <row r="91" spans="1:9" x14ac:dyDescent="0.4">
      <c r="A91" s="44">
        <f ca="1">OFFSET(飽和表集!B91,0,10*参照飽和表!$C$1,)</f>
        <v>0</v>
      </c>
      <c r="B91" s="157">
        <f ca="1">OFFSET(飽和表集!C91,0,10*参照飽和表!$C$1,)</f>
        <v>0</v>
      </c>
      <c r="C91" s="158">
        <f ca="1">OFFSET(飽和表集!D91,0,10*参照飽和表!$C$1,)</f>
        <v>0</v>
      </c>
      <c r="D91" s="159">
        <f ca="1">OFFSET(飽和表集!E91,0,10*参照飽和表!$C$1,)</f>
        <v>0</v>
      </c>
      <c r="E91" s="160">
        <f ca="1">OFFSET(飽和表集!F91,0,10*参照飽和表!$C$1,)</f>
        <v>0</v>
      </c>
      <c r="F91" s="161">
        <f ca="1">OFFSET(飽和表集!G91,0,10*参照飽和表!$C$1,)</f>
        <v>0</v>
      </c>
      <c r="G91" s="158">
        <f ca="1">OFFSET(飽和表集!H91,0,10*参照飽和表!$C$1,)</f>
        <v>0</v>
      </c>
      <c r="H91" s="159">
        <f ca="1">OFFSET(飽和表集!I91,0,10*参照飽和表!$C$1,)</f>
        <v>0</v>
      </c>
      <c r="I91" s="158">
        <f ca="1">OFFSET(飽和表集!J91,0,10*参照飽和表!$C$1,)</f>
        <v>0</v>
      </c>
    </row>
    <row r="92" spans="1:9" x14ac:dyDescent="0.4">
      <c r="A92" s="45">
        <f ca="1">OFFSET(飽和表集!B92,0,10*参照飽和表!$C$1,)</f>
        <v>0</v>
      </c>
      <c r="B92" s="162">
        <f ca="1">OFFSET(飽和表集!C92,0,10*参照飽和表!$C$1,)</f>
        <v>0</v>
      </c>
      <c r="C92" s="163">
        <f ca="1">OFFSET(飽和表集!D92,0,10*参照飽和表!$C$1,)</f>
        <v>0</v>
      </c>
      <c r="D92" s="162">
        <f ca="1">OFFSET(飽和表集!E92,0,10*参照飽和表!$C$1,)</f>
        <v>0</v>
      </c>
      <c r="E92" s="163">
        <f ca="1">OFFSET(飽和表集!F92,0,10*参照飽和表!$C$1,)</f>
        <v>0</v>
      </c>
      <c r="F92" s="164">
        <f ca="1">OFFSET(飽和表集!G92,0,10*参照飽和表!$C$1,)</f>
        <v>0</v>
      </c>
      <c r="G92" s="165">
        <f ca="1">OFFSET(飽和表集!H92,0,10*参照飽和表!$C$1,)</f>
        <v>0</v>
      </c>
      <c r="H92" s="164">
        <f ca="1">OFFSET(飽和表集!I92,0,10*参照飽和表!$C$1,)</f>
        <v>0</v>
      </c>
      <c r="I92" s="165">
        <f ca="1">OFFSET(飽和表集!J92,0,10*参照飽和表!$C$1,)</f>
        <v>0</v>
      </c>
    </row>
    <row r="93" spans="1:9" x14ac:dyDescent="0.4">
      <c r="A93" s="44">
        <f ca="1">OFFSET(飽和表集!B93,0,10*参照飽和表!$C$1,)</f>
        <v>0</v>
      </c>
      <c r="B93" s="157">
        <f ca="1">OFFSET(飽和表集!C93,0,10*参照飽和表!$C$1,)</f>
        <v>0</v>
      </c>
      <c r="C93" s="158">
        <f ca="1">OFFSET(飽和表集!D93,0,10*参照飽和表!$C$1,)</f>
        <v>0</v>
      </c>
      <c r="D93" s="159">
        <f ca="1">OFFSET(飽和表集!E93,0,10*参照飽和表!$C$1,)</f>
        <v>0</v>
      </c>
      <c r="E93" s="160">
        <f ca="1">OFFSET(飽和表集!F93,0,10*参照飽和表!$C$1,)</f>
        <v>0</v>
      </c>
      <c r="F93" s="161">
        <f ca="1">OFFSET(飽和表集!G93,0,10*参照飽和表!$C$1,)</f>
        <v>0</v>
      </c>
      <c r="G93" s="158">
        <f ca="1">OFFSET(飽和表集!H93,0,10*参照飽和表!$C$1,)</f>
        <v>0</v>
      </c>
      <c r="H93" s="159">
        <f ca="1">OFFSET(飽和表集!I93,0,10*参照飽和表!$C$1,)</f>
        <v>0</v>
      </c>
      <c r="I93" s="158">
        <f ca="1">OFFSET(飽和表集!J93,0,10*参照飽和表!$C$1,)</f>
        <v>0</v>
      </c>
    </row>
    <row r="94" spans="1:9" x14ac:dyDescent="0.4">
      <c r="A94" s="45">
        <f ca="1">OFFSET(飽和表集!B94,0,10*参照飽和表!$C$1,)</f>
        <v>0</v>
      </c>
      <c r="B94" s="162">
        <f ca="1">OFFSET(飽和表集!C94,0,10*参照飽和表!$C$1,)</f>
        <v>0</v>
      </c>
      <c r="C94" s="163">
        <f ca="1">OFFSET(飽和表集!D94,0,10*参照飽和表!$C$1,)</f>
        <v>0</v>
      </c>
      <c r="D94" s="162">
        <f ca="1">OFFSET(飽和表集!E94,0,10*参照飽和表!$C$1,)</f>
        <v>0</v>
      </c>
      <c r="E94" s="163">
        <f ca="1">OFFSET(飽和表集!F94,0,10*参照飽和表!$C$1,)</f>
        <v>0</v>
      </c>
      <c r="F94" s="164">
        <f ca="1">OFFSET(飽和表集!G94,0,10*参照飽和表!$C$1,)</f>
        <v>0</v>
      </c>
      <c r="G94" s="165">
        <f ca="1">OFFSET(飽和表集!H94,0,10*参照飽和表!$C$1,)</f>
        <v>0</v>
      </c>
      <c r="H94" s="164">
        <f ca="1">OFFSET(飽和表集!I94,0,10*参照飽和表!$C$1,)</f>
        <v>0</v>
      </c>
      <c r="I94" s="165">
        <f ca="1">OFFSET(飽和表集!J94,0,10*参照飽和表!$C$1,)</f>
        <v>0</v>
      </c>
    </row>
    <row r="95" spans="1:9" x14ac:dyDescent="0.4">
      <c r="A95" s="44">
        <f ca="1">OFFSET(飽和表集!B95,0,10*参照飽和表!$C$1,)</f>
        <v>0</v>
      </c>
      <c r="B95" s="157">
        <f ca="1">OFFSET(飽和表集!C95,0,10*参照飽和表!$C$1,)</f>
        <v>0</v>
      </c>
      <c r="C95" s="158">
        <f ca="1">OFFSET(飽和表集!D95,0,10*参照飽和表!$C$1,)</f>
        <v>0</v>
      </c>
      <c r="D95" s="159">
        <f ca="1">OFFSET(飽和表集!E95,0,10*参照飽和表!$C$1,)</f>
        <v>0</v>
      </c>
      <c r="E95" s="160">
        <f ca="1">OFFSET(飽和表集!F95,0,10*参照飽和表!$C$1,)</f>
        <v>0</v>
      </c>
      <c r="F95" s="161">
        <f ca="1">OFFSET(飽和表集!G95,0,10*参照飽和表!$C$1,)</f>
        <v>0</v>
      </c>
      <c r="G95" s="158">
        <f ca="1">OFFSET(飽和表集!H95,0,10*参照飽和表!$C$1,)</f>
        <v>0</v>
      </c>
      <c r="H95" s="159">
        <f ca="1">OFFSET(飽和表集!I95,0,10*参照飽和表!$C$1,)</f>
        <v>0</v>
      </c>
      <c r="I95" s="158">
        <f ca="1">OFFSET(飽和表集!J95,0,10*参照飽和表!$C$1,)</f>
        <v>0</v>
      </c>
    </row>
    <row r="96" spans="1:9" x14ac:dyDescent="0.4">
      <c r="A96" s="45">
        <f ca="1">OFFSET(飽和表集!B96,0,10*参照飽和表!$C$1,)</f>
        <v>0</v>
      </c>
      <c r="B96" s="162">
        <f ca="1">OFFSET(飽和表集!C96,0,10*参照飽和表!$C$1,)</f>
        <v>0</v>
      </c>
      <c r="C96" s="163">
        <f ca="1">OFFSET(飽和表集!D96,0,10*参照飽和表!$C$1,)</f>
        <v>0</v>
      </c>
      <c r="D96" s="162">
        <f ca="1">OFFSET(飽和表集!E96,0,10*参照飽和表!$C$1,)</f>
        <v>0</v>
      </c>
      <c r="E96" s="163">
        <f ca="1">OFFSET(飽和表集!F96,0,10*参照飽和表!$C$1,)</f>
        <v>0</v>
      </c>
      <c r="F96" s="164">
        <f ca="1">OFFSET(飽和表集!G96,0,10*参照飽和表!$C$1,)</f>
        <v>0</v>
      </c>
      <c r="G96" s="165">
        <f ca="1">OFFSET(飽和表集!H96,0,10*参照飽和表!$C$1,)</f>
        <v>0</v>
      </c>
      <c r="H96" s="164">
        <f ca="1">OFFSET(飽和表集!I96,0,10*参照飽和表!$C$1,)</f>
        <v>0</v>
      </c>
      <c r="I96" s="165">
        <f ca="1">OFFSET(飽和表集!J96,0,10*参照飽和表!$C$1,)</f>
        <v>0</v>
      </c>
    </row>
    <row r="97" spans="1:9" x14ac:dyDescent="0.4">
      <c r="A97" s="44">
        <f ca="1">OFFSET(飽和表集!B97,0,10*参照飽和表!$C$1,)</f>
        <v>0</v>
      </c>
      <c r="B97" s="157">
        <f ca="1">OFFSET(飽和表集!C97,0,10*参照飽和表!$C$1,)</f>
        <v>0</v>
      </c>
      <c r="C97" s="158">
        <f ca="1">OFFSET(飽和表集!D97,0,10*参照飽和表!$C$1,)</f>
        <v>0</v>
      </c>
      <c r="D97" s="159">
        <f ca="1">OFFSET(飽和表集!E97,0,10*参照飽和表!$C$1,)</f>
        <v>0</v>
      </c>
      <c r="E97" s="160">
        <f ca="1">OFFSET(飽和表集!F97,0,10*参照飽和表!$C$1,)</f>
        <v>0</v>
      </c>
      <c r="F97" s="161">
        <f ca="1">OFFSET(飽和表集!G97,0,10*参照飽和表!$C$1,)</f>
        <v>0</v>
      </c>
      <c r="G97" s="158">
        <f ca="1">OFFSET(飽和表集!H97,0,10*参照飽和表!$C$1,)</f>
        <v>0</v>
      </c>
      <c r="H97" s="159">
        <f ca="1">OFFSET(飽和表集!I97,0,10*参照飽和表!$C$1,)</f>
        <v>0</v>
      </c>
      <c r="I97" s="158">
        <f ca="1">OFFSET(飽和表集!J97,0,10*参照飽和表!$C$1,)</f>
        <v>0</v>
      </c>
    </row>
    <row r="98" spans="1:9" x14ac:dyDescent="0.4">
      <c r="A98" s="45">
        <f ca="1">OFFSET(飽和表集!B98,0,10*参照飽和表!$C$1,)</f>
        <v>0</v>
      </c>
      <c r="B98" s="162">
        <f ca="1">OFFSET(飽和表集!C98,0,10*参照飽和表!$C$1,)</f>
        <v>0</v>
      </c>
      <c r="C98" s="163">
        <f ca="1">OFFSET(飽和表集!D98,0,10*参照飽和表!$C$1,)</f>
        <v>0</v>
      </c>
      <c r="D98" s="162">
        <f ca="1">OFFSET(飽和表集!E98,0,10*参照飽和表!$C$1,)</f>
        <v>0</v>
      </c>
      <c r="E98" s="163">
        <f ca="1">OFFSET(飽和表集!F98,0,10*参照飽和表!$C$1,)</f>
        <v>0</v>
      </c>
      <c r="F98" s="164">
        <f ca="1">OFFSET(飽和表集!G98,0,10*参照飽和表!$C$1,)</f>
        <v>0</v>
      </c>
      <c r="G98" s="165">
        <f ca="1">OFFSET(飽和表集!H98,0,10*参照飽和表!$C$1,)</f>
        <v>0</v>
      </c>
      <c r="H98" s="164">
        <f ca="1">OFFSET(飽和表集!I98,0,10*参照飽和表!$C$1,)</f>
        <v>0</v>
      </c>
      <c r="I98" s="165">
        <f ca="1">OFFSET(飽和表集!J98,0,10*参照飽和表!$C$1,)</f>
        <v>0</v>
      </c>
    </row>
    <row r="99" spans="1:9" x14ac:dyDescent="0.4">
      <c r="A99" s="44">
        <f ca="1">OFFSET(飽和表集!B99,0,10*参照飽和表!$C$1,)</f>
        <v>0</v>
      </c>
      <c r="B99" s="157">
        <f ca="1">OFFSET(飽和表集!C99,0,10*参照飽和表!$C$1,)</f>
        <v>0</v>
      </c>
      <c r="C99" s="158">
        <f ca="1">OFFSET(飽和表集!D99,0,10*参照飽和表!$C$1,)</f>
        <v>0</v>
      </c>
      <c r="D99" s="159">
        <f ca="1">OFFSET(飽和表集!E99,0,10*参照飽和表!$C$1,)</f>
        <v>0</v>
      </c>
      <c r="E99" s="160">
        <f ca="1">OFFSET(飽和表集!F99,0,10*参照飽和表!$C$1,)</f>
        <v>0</v>
      </c>
      <c r="F99" s="161">
        <f ca="1">OFFSET(飽和表集!G99,0,10*参照飽和表!$C$1,)</f>
        <v>0</v>
      </c>
      <c r="G99" s="158">
        <f ca="1">OFFSET(飽和表集!H99,0,10*参照飽和表!$C$1,)</f>
        <v>0</v>
      </c>
      <c r="H99" s="159">
        <f ca="1">OFFSET(飽和表集!I99,0,10*参照飽和表!$C$1,)</f>
        <v>0</v>
      </c>
      <c r="I99" s="158">
        <f ca="1">OFFSET(飽和表集!J99,0,10*参照飽和表!$C$1,)</f>
        <v>0</v>
      </c>
    </row>
    <row r="100" spans="1:9" x14ac:dyDescent="0.4">
      <c r="A100" s="45">
        <f ca="1">OFFSET(飽和表集!B100,0,10*参照飽和表!$C$1,)</f>
        <v>0</v>
      </c>
      <c r="B100" s="162">
        <f ca="1">OFFSET(飽和表集!C100,0,10*参照飽和表!$C$1,)</f>
        <v>0</v>
      </c>
      <c r="C100" s="163">
        <f ca="1">OFFSET(飽和表集!D100,0,10*参照飽和表!$C$1,)</f>
        <v>0</v>
      </c>
      <c r="D100" s="162">
        <f ca="1">OFFSET(飽和表集!E100,0,10*参照飽和表!$C$1,)</f>
        <v>0</v>
      </c>
      <c r="E100" s="163">
        <f ca="1">OFFSET(飽和表集!F100,0,10*参照飽和表!$C$1,)</f>
        <v>0</v>
      </c>
      <c r="F100" s="164">
        <f ca="1">OFFSET(飽和表集!G100,0,10*参照飽和表!$C$1,)</f>
        <v>0</v>
      </c>
      <c r="G100" s="165">
        <f ca="1">OFFSET(飽和表集!H100,0,10*参照飽和表!$C$1,)</f>
        <v>0</v>
      </c>
      <c r="H100" s="164">
        <f ca="1">OFFSET(飽和表集!I100,0,10*参照飽和表!$C$1,)</f>
        <v>0</v>
      </c>
      <c r="I100" s="165">
        <f ca="1">OFFSET(飽和表集!J100,0,10*参照飽和表!$C$1,)</f>
        <v>0</v>
      </c>
    </row>
    <row r="101" spans="1:9" x14ac:dyDescent="0.4">
      <c r="A101" s="44">
        <f ca="1">OFFSET(飽和表集!B101,0,10*参照飽和表!$C$1,)</f>
        <v>0</v>
      </c>
      <c r="B101" s="157">
        <f ca="1">OFFSET(飽和表集!C101,0,10*参照飽和表!$C$1,)</f>
        <v>0</v>
      </c>
      <c r="C101" s="158">
        <f ca="1">OFFSET(飽和表集!D101,0,10*参照飽和表!$C$1,)</f>
        <v>0</v>
      </c>
      <c r="D101" s="159">
        <f ca="1">OFFSET(飽和表集!E101,0,10*参照飽和表!$C$1,)</f>
        <v>0</v>
      </c>
      <c r="E101" s="160">
        <f ca="1">OFFSET(飽和表集!F101,0,10*参照飽和表!$C$1,)</f>
        <v>0</v>
      </c>
      <c r="F101" s="161">
        <f ca="1">OFFSET(飽和表集!G101,0,10*参照飽和表!$C$1,)</f>
        <v>0</v>
      </c>
      <c r="G101" s="158">
        <f ca="1">OFFSET(飽和表集!H101,0,10*参照飽和表!$C$1,)</f>
        <v>0</v>
      </c>
      <c r="H101" s="159">
        <f ca="1">OFFSET(飽和表集!I101,0,10*参照飽和表!$C$1,)</f>
        <v>0</v>
      </c>
      <c r="I101" s="158">
        <f ca="1">OFFSET(飽和表集!J101,0,10*参照飽和表!$C$1,)</f>
        <v>0</v>
      </c>
    </row>
    <row r="102" spans="1:9" x14ac:dyDescent="0.4">
      <c r="A102" s="45">
        <f ca="1">OFFSET(飽和表集!B102,0,10*参照飽和表!$C$1,)</f>
        <v>0</v>
      </c>
      <c r="B102" s="162">
        <f ca="1">OFFSET(飽和表集!C102,0,10*参照飽和表!$C$1,)</f>
        <v>0</v>
      </c>
      <c r="C102" s="163">
        <f ca="1">OFFSET(飽和表集!D102,0,10*参照飽和表!$C$1,)</f>
        <v>0</v>
      </c>
      <c r="D102" s="162">
        <f ca="1">OFFSET(飽和表集!E102,0,10*参照飽和表!$C$1,)</f>
        <v>0</v>
      </c>
      <c r="E102" s="163">
        <f ca="1">OFFSET(飽和表集!F102,0,10*参照飽和表!$C$1,)</f>
        <v>0</v>
      </c>
      <c r="F102" s="164">
        <f ca="1">OFFSET(飽和表集!G102,0,10*参照飽和表!$C$1,)</f>
        <v>0</v>
      </c>
      <c r="G102" s="165">
        <f ca="1">OFFSET(飽和表集!H102,0,10*参照飽和表!$C$1,)</f>
        <v>0</v>
      </c>
      <c r="H102" s="164">
        <f ca="1">OFFSET(飽和表集!I102,0,10*参照飽和表!$C$1,)</f>
        <v>0</v>
      </c>
      <c r="I102" s="165">
        <f ca="1">OFFSET(飽和表集!J102,0,10*参照飽和表!$C$1,)</f>
        <v>0</v>
      </c>
    </row>
    <row r="103" spans="1:9" x14ac:dyDescent="0.4">
      <c r="A103" s="44">
        <f ca="1">OFFSET(飽和表集!B103,0,10*参照飽和表!$C$1,)</f>
        <v>0</v>
      </c>
      <c r="B103" s="157">
        <f ca="1">OFFSET(飽和表集!C103,0,10*参照飽和表!$C$1,)</f>
        <v>0</v>
      </c>
      <c r="C103" s="158">
        <f ca="1">OFFSET(飽和表集!D103,0,10*参照飽和表!$C$1,)</f>
        <v>0</v>
      </c>
      <c r="D103" s="159">
        <f ca="1">OFFSET(飽和表集!E103,0,10*参照飽和表!$C$1,)</f>
        <v>0</v>
      </c>
      <c r="E103" s="160">
        <f ca="1">OFFSET(飽和表集!F103,0,10*参照飽和表!$C$1,)</f>
        <v>0</v>
      </c>
      <c r="F103" s="161">
        <f ca="1">OFFSET(飽和表集!G103,0,10*参照飽和表!$C$1,)</f>
        <v>0</v>
      </c>
      <c r="G103" s="158">
        <f ca="1">OFFSET(飽和表集!H103,0,10*参照飽和表!$C$1,)</f>
        <v>0</v>
      </c>
      <c r="H103" s="159">
        <f ca="1">OFFSET(飽和表集!I103,0,10*参照飽和表!$C$1,)</f>
        <v>0</v>
      </c>
      <c r="I103" s="158">
        <f ca="1">OFFSET(飽和表集!J103,0,10*参照飽和表!$C$1,)</f>
        <v>0</v>
      </c>
    </row>
    <row r="104" spans="1:9" x14ac:dyDescent="0.4">
      <c r="A104" s="45">
        <f ca="1">OFFSET(飽和表集!B104,0,10*参照飽和表!$C$1,)</f>
        <v>0</v>
      </c>
      <c r="B104" s="162">
        <f ca="1">OFFSET(飽和表集!C104,0,10*参照飽和表!$C$1,)</f>
        <v>0</v>
      </c>
      <c r="C104" s="163">
        <f ca="1">OFFSET(飽和表集!D104,0,10*参照飽和表!$C$1,)</f>
        <v>0</v>
      </c>
      <c r="D104" s="162">
        <f ca="1">OFFSET(飽和表集!E104,0,10*参照飽和表!$C$1,)</f>
        <v>0</v>
      </c>
      <c r="E104" s="163">
        <f ca="1">OFFSET(飽和表集!F104,0,10*参照飽和表!$C$1,)</f>
        <v>0</v>
      </c>
      <c r="F104" s="164">
        <f ca="1">OFFSET(飽和表集!G104,0,10*参照飽和表!$C$1,)</f>
        <v>0</v>
      </c>
      <c r="G104" s="165">
        <f ca="1">OFFSET(飽和表集!H104,0,10*参照飽和表!$C$1,)</f>
        <v>0</v>
      </c>
      <c r="H104" s="164">
        <f ca="1">OFFSET(飽和表集!I104,0,10*参照飽和表!$C$1,)</f>
        <v>0</v>
      </c>
      <c r="I104" s="165">
        <f ca="1">OFFSET(飽和表集!J104,0,10*参照飽和表!$C$1,)</f>
        <v>0</v>
      </c>
    </row>
    <row r="105" spans="1:9" x14ac:dyDescent="0.4">
      <c r="A105" s="44">
        <f ca="1">OFFSET(飽和表集!B105,0,10*参照飽和表!$C$1,)</f>
        <v>0</v>
      </c>
      <c r="B105" s="157">
        <f ca="1">OFFSET(飽和表集!C105,0,10*参照飽和表!$C$1,)</f>
        <v>0</v>
      </c>
      <c r="C105" s="158">
        <f ca="1">OFFSET(飽和表集!D105,0,10*参照飽和表!$C$1,)</f>
        <v>0</v>
      </c>
      <c r="D105" s="159">
        <f ca="1">OFFSET(飽和表集!E105,0,10*参照飽和表!$C$1,)</f>
        <v>0</v>
      </c>
      <c r="E105" s="160">
        <f ca="1">OFFSET(飽和表集!F105,0,10*参照飽和表!$C$1,)</f>
        <v>0</v>
      </c>
      <c r="F105" s="161">
        <f ca="1">OFFSET(飽和表集!G105,0,10*参照飽和表!$C$1,)</f>
        <v>0</v>
      </c>
      <c r="G105" s="158">
        <f ca="1">OFFSET(飽和表集!H105,0,10*参照飽和表!$C$1,)</f>
        <v>0</v>
      </c>
      <c r="H105" s="159">
        <f ca="1">OFFSET(飽和表集!I105,0,10*参照飽和表!$C$1,)</f>
        <v>0</v>
      </c>
      <c r="I105" s="158">
        <f ca="1">OFFSET(飽和表集!J105,0,10*参照飽和表!$C$1,)</f>
        <v>0</v>
      </c>
    </row>
    <row r="106" spans="1:9" x14ac:dyDescent="0.4">
      <c r="A106" s="45">
        <f ca="1">OFFSET(飽和表集!B106,0,10*参照飽和表!$C$1,)</f>
        <v>0</v>
      </c>
      <c r="B106" s="162">
        <f ca="1">OFFSET(飽和表集!C106,0,10*参照飽和表!$C$1,)</f>
        <v>0</v>
      </c>
      <c r="C106" s="163">
        <f ca="1">OFFSET(飽和表集!D106,0,10*参照飽和表!$C$1,)</f>
        <v>0</v>
      </c>
      <c r="D106" s="162">
        <f ca="1">OFFSET(飽和表集!E106,0,10*参照飽和表!$C$1,)</f>
        <v>0</v>
      </c>
      <c r="E106" s="163">
        <f ca="1">OFFSET(飽和表集!F106,0,10*参照飽和表!$C$1,)</f>
        <v>0</v>
      </c>
      <c r="F106" s="164">
        <f ca="1">OFFSET(飽和表集!G106,0,10*参照飽和表!$C$1,)</f>
        <v>0</v>
      </c>
      <c r="G106" s="165">
        <f ca="1">OFFSET(飽和表集!H106,0,10*参照飽和表!$C$1,)</f>
        <v>0</v>
      </c>
      <c r="H106" s="164">
        <f ca="1">OFFSET(飽和表集!I106,0,10*参照飽和表!$C$1,)</f>
        <v>0</v>
      </c>
      <c r="I106" s="165">
        <f ca="1">OFFSET(飽和表集!J106,0,10*参照飽和表!$C$1,)</f>
        <v>0</v>
      </c>
    </row>
    <row r="107" spans="1:9" x14ac:dyDescent="0.4">
      <c r="A107" s="44">
        <f ca="1">OFFSET(飽和表集!B107,0,10*参照飽和表!$C$1,)</f>
        <v>0</v>
      </c>
      <c r="B107" s="157">
        <f ca="1">OFFSET(飽和表集!C107,0,10*参照飽和表!$C$1,)</f>
        <v>0</v>
      </c>
      <c r="C107" s="158">
        <f ca="1">OFFSET(飽和表集!D107,0,10*参照飽和表!$C$1,)</f>
        <v>0</v>
      </c>
      <c r="D107" s="159">
        <f ca="1">OFFSET(飽和表集!E107,0,10*参照飽和表!$C$1,)</f>
        <v>0</v>
      </c>
      <c r="E107" s="160">
        <f ca="1">OFFSET(飽和表集!F107,0,10*参照飽和表!$C$1,)</f>
        <v>0</v>
      </c>
      <c r="F107" s="161">
        <f ca="1">OFFSET(飽和表集!G107,0,10*参照飽和表!$C$1,)</f>
        <v>0</v>
      </c>
      <c r="G107" s="158">
        <f ca="1">OFFSET(飽和表集!H107,0,10*参照飽和表!$C$1,)</f>
        <v>0</v>
      </c>
      <c r="H107" s="159">
        <f ca="1">OFFSET(飽和表集!I107,0,10*参照飽和表!$C$1,)</f>
        <v>0</v>
      </c>
      <c r="I107" s="158">
        <f ca="1">OFFSET(飽和表集!J107,0,10*参照飽和表!$C$1,)</f>
        <v>0</v>
      </c>
    </row>
    <row r="108" spans="1:9" x14ac:dyDescent="0.4">
      <c r="A108" s="45">
        <f ca="1">OFFSET(飽和表集!B108,0,10*参照飽和表!$C$1,)</f>
        <v>0</v>
      </c>
      <c r="B108" s="162">
        <f ca="1">OFFSET(飽和表集!C108,0,10*参照飽和表!$C$1,)</f>
        <v>0</v>
      </c>
      <c r="C108" s="163">
        <f ca="1">OFFSET(飽和表集!D108,0,10*参照飽和表!$C$1,)</f>
        <v>0</v>
      </c>
      <c r="D108" s="162">
        <f ca="1">OFFSET(飽和表集!E108,0,10*参照飽和表!$C$1,)</f>
        <v>0</v>
      </c>
      <c r="E108" s="163">
        <f ca="1">OFFSET(飽和表集!F108,0,10*参照飽和表!$C$1,)</f>
        <v>0</v>
      </c>
      <c r="F108" s="164">
        <f ca="1">OFFSET(飽和表集!G108,0,10*参照飽和表!$C$1,)</f>
        <v>0</v>
      </c>
      <c r="G108" s="165">
        <f ca="1">OFFSET(飽和表集!H108,0,10*参照飽和表!$C$1,)</f>
        <v>0</v>
      </c>
      <c r="H108" s="164">
        <f ca="1">OFFSET(飽和表集!I108,0,10*参照飽和表!$C$1,)</f>
        <v>0</v>
      </c>
      <c r="I108" s="165">
        <f ca="1">OFFSET(飽和表集!J108,0,10*参照飽和表!$C$1,)</f>
        <v>0</v>
      </c>
    </row>
    <row r="109" spans="1:9" x14ac:dyDescent="0.4">
      <c r="A109" s="44">
        <f ca="1">OFFSET(飽和表集!B109,0,10*参照飽和表!$C$1,)</f>
        <v>0</v>
      </c>
      <c r="B109" s="157">
        <f ca="1">OFFSET(飽和表集!C109,0,10*参照飽和表!$C$1,)</f>
        <v>0</v>
      </c>
      <c r="C109" s="158">
        <f ca="1">OFFSET(飽和表集!D109,0,10*参照飽和表!$C$1,)</f>
        <v>0</v>
      </c>
      <c r="D109" s="159">
        <f ca="1">OFFSET(飽和表集!E109,0,10*参照飽和表!$C$1,)</f>
        <v>0</v>
      </c>
      <c r="E109" s="160">
        <f ca="1">OFFSET(飽和表集!F109,0,10*参照飽和表!$C$1,)</f>
        <v>0</v>
      </c>
      <c r="F109" s="161">
        <f ca="1">OFFSET(飽和表集!G109,0,10*参照飽和表!$C$1,)</f>
        <v>0</v>
      </c>
      <c r="G109" s="158">
        <f ca="1">OFFSET(飽和表集!H109,0,10*参照飽和表!$C$1,)</f>
        <v>0</v>
      </c>
      <c r="H109" s="159">
        <f ca="1">OFFSET(飽和表集!I109,0,10*参照飽和表!$C$1,)</f>
        <v>0</v>
      </c>
      <c r="I109" s="158">
        <f ca="1">OFFSET(飽和表集!J109,0,10*参照飽和表!$C$1,)</f>
        <v>0</v>
      </c>
    </row>
    <row r="110" spans="1:9" x14ac:dyDescent="0.4">
      <c r="A110" s="45">
        <f ca="1">OFFSET(飽和表集!B110,0,10*参照飽和表!$C$1,)</f>
        <v>0</v>
      </c>
      <c r="B110" s="162">
        <f ca="1">OFFSET(飽和表集!C110,0,10*参照飽和表!$C$1,)</f>
        <v>0</v>
      </c>
      <c r="C110" s="163">
        <f ca="1">OFFSET(飽和表集!D110,0,10*参照飽和表!$C$1,)</f>
        <v>0</v>
      </c>
      <c r="D110" s="162">
        <f ca="1">OFFSET(飽和表集!E110,0,10*参照飽和表!$C$1,)</f>
        <v>0</v>
      </c>
      <c r="E110" s="163">
        <f ca="1">OFFSET(飽和表集!F110,0,10*参照飽和表!$C$1,)</f>
        <v>0</v>
      </c>
      <c r="F110" s="164">
        <f ca="1">OFFSET(飽和表集!G110,0,10*参照飽和表!$C$1,)</f>
        <v>0</v>
      </c>
      <c r="G110" s="165">
        <f ca="1">OFFSET(飽和表集!H110,0,10*参照飽和表!$C$1,)</f>
        <v>0</v>
      </c>
      <c r="H110" s="164">
        <f ca="1">OFFSET(飽和表集!I110,0,10*参照飽和表!$C$1,)</f>
        <v>0</v>
      </c>
      <c r="I110" s="165">
        <f ca="1">OFFSET(飽和表集!J110,0,10*参照飽和表!$C$1,)</f>
        <v>0</v>
      </c>
    </row>
    <row r="111" spans="1:9" x14ac:dyDescent="0.4">
      <c r="A111" s="44">
        <f ca="1">OFFSET(飽和表集!B111,0,10*参照飽和表!$C$1,)</f>
        <v>0</v>
      </c>
      <c r="B111" s="157">
        <f ca="1">OFFSET(飽和表集!C111,0,10*参照飽和表!$C$1,)</f>
        <v>0</v>
      </c>
      <c r="C111" s="158">
        <f ca="1">OFFSET(飽和表集!D111,0,10*参照飽和表!$C$1,)</f>
        <v>0</v>
      </c>
      <c r="D111" s="159">
        <f ca="1">OFFSET(飽和表集!E111,0,10*参照飽和表!$C$1,)</f>
        <v>0</v>
      </c>
      <c r="E111" s="160">
        <f ca="1">OFFSET(飽和表集!F111,0,10*参照飽和表!$C$1,)</f>
        <v>0</v>
      </c>
      <c r="F111" s="161">
        <f ca="1">OFFSET(飽和表集!G111,0,10*参照飽和表!$C$1,)</f>
        <v>0</v>
      </c>
      <c r="G111" s="158">
        <f ca="1">OFFSET(飽和表集!H111,0,10*参照飽和表!$C$1,)</f>
        <v>0</v>
      </c>
      <c r="H111" s="159">
        <f ca="1">OFFSET(飽和表集!I111,0,10*参照飽和表!$C$1,)</f>
        <v>0</v>
      </c>
      <c r="I111" s="158">
        <f ca="1">OFFSET(飽和表集!J111,0,10*参照飽和表!$C$1,)</f>
        <v>0</v>
      </c>
    </row>
    <row r="112" spans="1:9" x14ac:dyDescent="0.4">
      <c r="A112" s="45">
        <f ca="1">OFFSET(飽和表集!B112,0,10*参照飽和表!$C$1,)</f>
        <v>0</v>
      </c>
      <c r="B112" s="162">
        <f ca="1">OFFSET(飽和表集!C112,0,10*参照飽和表!$C$1,)</f>
        <v>0</v>
      </c>
      <c r="C112" s="163">
        <f ca="1">OFFSET(飽和表集!D112,0,10*参照飽和表!$C$1,)</f>
        <v>0</v>
      </c>
      <c r="D112" s="162">
        <f ca="1">OFFSET(飽和表集!E112,0,10*参照飽和表!$C$1,)</f>
        <v>0</v>
      </c>
      <c r="E112" s="163">
        <f ca="1">OFFSET(飽和表集!F112,0,10*参照飽和表!$C$1,)</f>
        <v>0</v>
      </c>
      <c r="F112" s="164">
        <f ca="1">OFFSET(飽和表集!G112,0,10*参照飽和表!$C$1,)</f>
        <v>0</v>
      </c>
      <c r="G112" s="165">
        <f ca="1">OFFSET(飽和表集!H112,0,10*参照飽和表!$C$1,)</f>
        <v>0</v>
      </c>
      <c r="H112" s="164">
        <f ca="1">OFFSET(飽和表集!I112,0,10*参照飽和表!$C$1,)</f>
        <v>0</v>
      </c>
      <c r="I112" s="165">
        <f ca="1">OFFSET(飽和表集!J112,0,10*参照飽和表!$C$1,)</f>
        <v>0</v>
      </c>
    </row>
    <row r="113" spans="1:9" x14ac:dyDescent="0.4">
      <c r="A113" s="44">
        <f ca="1">OFFSET(飽和表集!B113,0,10*参照飽和表!$C$1,)</f>
        <v>0</v>
      </c>
      <c r="B113" s="157">
        <f ca="1">OFFSET(飽和表集!C113,0,10*参照飽和表!$C$1,)</f>
        <v>0</v>
      </c>
      <c r="C113" s="158">
        <f ca="1">OFFSET(飽和表集!D113,0,10*参照飽和表!$C$1,)</f>
        <v>0</v>
      </c>
      <c r="D113" s="159">
        <f ca="1">OFFSET(飽和表集!E113,0,10*参照飽和表!$C$1,)</f>
        <v>0</v>
      </c>
      <c r="E113" s="160">
        <f ca="1">OFFSET(飽和表集!F113,0,10*参照飽和表!$C$1,)</f>
        <v>0</v>
      </c>
      <c r="F113" s="161">
        <f ca="1">OFFSET(飽和表集!G113,0,10*参照飽和表!$C$1,)</f>
        <v>0</v>
      </c>
      <c r="G113" s="158">
        <f ca="1">OFFSET(飽和表集!H113,0,10*参照飽和表!$C$1,)</f>
        <v>0</v>
      </c>
      <c r="H113" s="159">
        <f ca="1">OFFSET(飽和表集!I113,0,10*参照飽和表!$C$1,)</f>
        <v>0</v>
      </c>
      <c r="I113" s="158">
        <f ca="1">OFFSET(飽和表集!J113,0,10*参照飽和表!$C$1,)</f>
        <v>0</v>
      </c>
    </row>
    <row r="114" spans="1:9" x14ac:dyDescent="0.4">
      <c r="A114" s="45">
        <f ca="1">OFFSET(飽和表集!B114,0,10*参照飽和表!$C$1,)</f>
        <v>0</v>
      </c>
      <c r="B114" s="162">
        <f ca="1">OFFSET(飽和表集!C114,0,10*参照飽和表!$C$1,)</f>
        <v>0</v>
      </c>
      <c r="C114" s="163">
        <f ca="1">OFFSET(飽和表集!D114,0,10*参照飽和表!$C$1,)</f>
        <v>0</v>
      </c>
      <c r="D114" s="162">
        <f ca="1">OFFSET(飽和表集!E114,0,10*参照飽和表!$C$1,)</f>
        <v>0</v>
      </c>
      <c r="E114" s="163">
        <f ca="1">OFFSET(飽和表集!F114,0,10*参照飽和表!$C$1,)</f>
        <v>0</v>
      </c>
      <c r="F114" s="164">
        <f ca="1">OFFSET(飽和表集!G114,0,10*参照飽和表!$C$1,)</f>
        <v>0</v>
      </c>
      <c r="G114" s="165">
        <f ca="1">OFFSET(飽和表集!H114,0,10*参照飽和表!$C$1,)</f>
        <v>0</v>
      </c>
      <c r="H114" s="164">
        <f ca="1">OFFSET(飽和表集!I114,0,10*参照飽和表!$C$1,)</f>
        <v>0</v>
      </c>
      <c r="I114" s="165">
        <f ca="1">OFFSET(飽和表集!J114,0,10*参照飽和表!$C$1,)</f>
        <v>0</v>
      </c>
    </row>
    <row r="115" spans="1:9" x14ac:dyDescent="0.4">
      <c r="A115" s="44">
        <f ca="1">OFFSET(飽和表集!B115,0,10*参照飽和表!$C$1,)</f>
        <v>0</v>
      </c>
      <c r="B115" s="157">
        <f ca="1">OFFSET(飽和表集!C115,0,10*参照飽和表!$C$1,)</f>
        <v>0</v>
      </c>
      <c r="C115" s="158">
        <f ca="1">OFFSET(飽和表集!D115,0,10*参照飽和表!$C$1,)</f>
        <v>0</v>
      </c>
      <c r="D115" s="159">
        <f ca="1">OFFSET(飽和表集!E115,0,10*参照飽和表!$C$1,)</f>
        <v>0</v>
      </c>
      <c r="E115" s="160">
        <f ca="1">OFFSET(飽和表集!F115,0,10*参照飽和表!$C$1,)</f>
        <v>0</v>
      </c>
      <c r="F115" s="161">
        <f ca="1">OFFSET(飽和表集!G115,0,10*参照飽和表!$C$1,)</f>
        <v>0</v>
      </c>
      <c r="G115" s="158">
        <f ca="1">OFFSET(飽和表集!H115,0,10*参照飽和表!$C$1,)</f>
        <v>0</v>
      </c>
      <c r="H115" s="159">
        <f ca="1">OFFSET(飽和表集!I115,0,10*参照飽和表!$C$1,)</f>
        <v>0</v>
      </c>
      <c r="I115" s="158">
        <f ca="1">OFFSET(飽和表集!J115,0,10*参照飽和表!$C$1,)</f>
        <v>0</v>
      </c>
    </row>
    <row r="116" spans="1:9" x14ac:dyDescent="0.4">
      <c r="A116" s="45">
        <f ca="1">OFFSET(飽和表集!B116,0,10*参照飽和表!$C$1,)</f>
        <v>0</v>
      </c>
      <c r="B116" s="162">
        <f ca="1">OFFSET(飽和表集!C116,0,10*参照飽和表!$C$1,)</f>
        <v>0</v>
      </c>
      <c r="C116" s="163">
        <f ca="1">OFFSET(飽和表集!D116,0,10*参照飽和表!$C$1,)</f>
        <v>0</v>
      </c>
      <c r="D116" s="162">
        <f ca="1">OFFSET(飽和表集!E116,0,10*参照飽和表!$C$1,)</f>
        <v>0</v>
      </c>
      <c r="E116" s="163">
        <f ca="1">OFFSET(飽和表集!F116,0,10*参照飽和表!$C$1,)</f>
        <v>0</v>
      </c>
      <c r="F116" s="164">
        <f ca="1">OFFSET(飽和表集!G116,0,10*参照飽和表!$C$1,)</f>
        <v>0</v>
      </c>
      <c r="G116" s="165">
        <f ca="1">OFFSET(飽和表集!H116,0,10*参照飽和表!$C$1,)</f>
        <v>0</v>
      </c>
      <c r="H116" s="164">
        <f ca="1">OFFSET(飽和表集!I116,0,10*参照飽和表!$C$1,)</f>
        <v>0</v>
      </c>
      <c r="I116" s="165">
        <f ca="1">OFFSET(飽和表集!J116,0,10*参照飽和表!$C$1,)</f>
        <v>0</v>
      </c>
    </row>
    <row r="117" spans="1:9" x14ac:dyDescent="0.4">
      <c r="A117" s="44">
        <f ca="1">OFFSET(飽和表集!B117,0,10*参照飽和表!$C$1,)</f>
        <v>0</v>
      </c>
      <c r="B117" s="157">
        <f ca="1">OFFSET(飽和表集!C117,0,10*参照飽和表!$C$1,)</f>
        <v>0</v>
      </c>
      <c r="C117" s="158">
        <f ca="1">OFFSET(飽和表集!D117,0,10*参照飽和表!$C$1,)</f>
        <v>0</v>
      </c>
      <c r="D117" s="159">
        <f ca="1">OFFSET(飽和表集!E117,0,10*参照飽和表!$C$1,)</f>
        <v>0</v>
      </c>
      <c r="E117" s="160">
        <f ca="1">OFFSET(飽和表集!F117,0,10*参照飽和表!$C$1,)</f>
        <v>0</v>
      </c>
      <c r="F117" s="161">
        <f ca="1">OFFSET(飽和表集!G117,0,10*参照飽和表!$C$1,)</f>
        <v>0</v>
      </c>
      <c r="G117" s="158">
        <f ca="1">OFFSET(飽和表集!H117,0,10*参照飽和表!$C$1,)</f>
        <v>0</v>
      </c>
      <c r="H117" s="159">
        <f ca="1">OFFSET(飽和表集!I117,0,10*参照飽和表!$C$1,)</f>
        <v>0</v>
      </c>
      <c r="I117" s="158">
        <f ca="1">OFFSET(飽和表集!J117,0,10*参照飽和表!$C$1,)</f>
        <v>0</v>
      </c>
    </row>
    <row r="118" spans="1:9" x14ac:dyDescent="0.4">
      <c r="A118" s="45">
        <f ca="1">OFFSET(飽和表集!B118,0,10*参照飽和表!$C$1,)</f>
        <v>0</v>
      </c>
      <c r="B118" s="162">
        <f ca="1">OFFSET(飽和表集!C118,0,10*参照飽和表!$C$1,)</f>
        <v>0</v>
      </c>
      <c r="C118" s="163">
        <f ca="1">OFFSET(飽和表集!D118,0,10*参照飽和表!$C$1,)</f>
        <v>0</v>
      </c>
      <c r="D118" s="162">
        <f ca="1">OFFSET(飽和表集!E118,0,10*参照飽和表!$C$1,)</f>
        <v>0</v>
      </c>
      <c r="E118" s="163">
        <f ca="1">OFFSET(飽和表集!F118,0,10*参照飽和表!$C$1,)</f>
        <v>0</v>
      </c>
      <c r="F118" s="164">
        <f ca="1">OFFSET(飽和表集!G118,0,10*参照飽和表!$C$1,)</f>
        <v>0</v>
      </c>
      <c r="G118" s="165">
        <f ca="1">OFFSET(飽和表集!H118,0,10*参照飽和表!$C$1,)</f>
        <v>0</v>
      </c>
      <c r="H118" s="164">
        <f ca="1">OFFSET(飽和表集!I118,0,10*参照飽和表!$C$1,)</f>
        <v>0</v>
      </c>
      <c r="I118" s="165">
        <f ca="1">OFFSET(飽和表集!J118,0,10*参照飽和表!$C$1,)</f>
        <v>0</v>
      </c>
    </row>
    <row r="119" spans="1:9" x14ac:dyDescent="0.4">
      <c r="A119" s="44">
        <f ca="1">OFFSET(飽和表集!B119,0,10*参照飽和表!$C$1,)</f>
        <v>0</v>
      </c>
      <c r="B119" s="157">
        <f ca="1">OFFSET(飽和表集!C119,0,10*参照飽和表!$C$1,)</f>
        <v>0</v>
      </c>
      <c r="C119" s="158">
        <f ca="1">OFFSET(飽和表集!D119,0,10*参照飽和表!$C$1,)</f>
        <v>0</v>
      </c>
      <c r="D119" s="159">
        <f ca="1">OFFSET(飽和表集!E119,0,10*参照飽和表!$C$1,)</f>
        <v>0</v>
      </c>
      <c r="E119" s="160">
        <f ca="1">OFFSET(飽和表集!F119,0,10*参照飽和表!$C$1,)</f>
        <v>0</v>
      </c>
      <c r="F119" s="161">
        <f ca="1">OFFSET(飽和表集!G119,0,10*参照飽和表!$C$1,)</f>
        <v>0</v>
      </c>
      <c r="G119" s="158">
        <f ca="1">OFFSET(飽和表集!H119,0,10*参照飽和表!$C$1,)</f>
        <v>0</v>
      </c>
      <c r="H119" s="159">
        <f ca="1">OFFSET(飽和表集!I119,0,10*参照飽和表!$C$1,)</f>
        <v>0</v>
      </c>
      <c r="I119" s="158">
        <f ca="1">OFFSET(飽和表集!J119,0,10*参照飽和表!$C$1,)</f>
        <v>0</v>
      </c>
    </row>
    <row r="120" spans="1:9" x14ac:dyDescent="0.4">
      <c r="A120" s="45">
        <f ca="1">OFFSET(飽和表集!B120,0,10*参照飽和表!$C$1,)</f>
        <v>0</v>
      </c>
      <c r="B120" s="162">
        <f ca="1">OFFSET(飽和表集!C120,0,10*参照飽和表!$C$1,)</f>
        <v>0</v>
      </c>
      <c r="C120" s="163">
        <f ca="1">OFFSET(飽和表集!D120,0,10*参照飽和表!$C$1,)</f>
        <v>0</v>
      </c>
      <c r="D120" s="162">
        <f ca="1">OFFSET(飽和表集!E120,0,10*参照飽和表!$C$1,)</f>
        <v>0</v>
      </c>
      <c r="E120" s="163">
        <f ca="1">OFFSET(飽和表集!F120,0,10*参照飽和表!$C$1,)</f>
        <v>0</v>
      </c>
      <c r="F120" s="164">
        <f ca="1">OFFSET(飽和表集!G120,0,10*参照飽和表!$C$1,)</f>
        <v>0</v>
      </c>
      <c r="G120" s="165">
        <f ca="1">OFFSET(飽和表集!H120,0,10*参照飽和表!$C$1,)</f>
        <v>0</v>
      </c>
      <c r="H120" s="164">
        <f ca="1">OFFSET(飽和表集!I120,0,10*参照飽和表!$C$1,)</f>
        <v>0</v>
      </c>
      <c r="I120" s="165">
        <f ca="1">OFFSET(飽和表集!J120,0,10*参照飽和表!$C$1,)</f>
        <v>0</v>
      </c>
    </row>
    <row r="121" spans="1:9" x14ac:dyDescent="0.4">
      <c r="A121" s="44">
        <f ca="1">OFFSET(飽和表集!B121,0,10*参照飽和表!$C$1,)</f>
        <v>0</v>
      </c>
      <c r="B121" s="157">
        <f ca="1">OFFSET(飽和表集!C121,0,10*参照飽和表!$C$1,)</f>
        <v>0</v>
      </c>
      <c r="C121" s="158">
        <f ca="1">OFFSET(飽和表集!D121,0,10*参照飽和表!$C$1,)</f>
        <v>0</v>
      </c>
      <c r="D121" s="159">
        <f ca="1">OFFSET(飽和表集!E121,0,10*参照飽和表!$C$1,)</f>
        <v>0</v>
      </c>
      <c r="E121" s="160">
        <f ca="1">OFFSET(飽和表集!F121,0,10*参照飽和表!$C$1,)</f>
        <v>0</v>
      </c>
      <c r="F121" s="161">
        <f ca="1">OFFSET(飽和表集!G121,0,10*参照飽和表!$C$1,)</f>
        <v>0</v>
      </c>
      <c r="G121" s="158">
        <f ca="1">OFFSET(飽和表集!H121,0,10*参照飽和表!$C$1,)</f>
        <v>0</v>
      </c>
      <c r="H121" s="159">
        <f ca="1">OFFSET(飽和表集!I121,0,10*参照飽和表!$C$1,)</f>
        <v>0</v>
      </c>
      <c r="I121" s="158">
        <f ca="1">OFFSET(飽和表集!J121,0,10*参照飽和表!$C$1,)</f>
        <v>0</v>
      </c>
    </row>
    <row r="122" spans="1:9" x14ac:dyDescent="0.4">
      <c r="A122" s="45">
        <f ca="1">OFFSET(飽和表集!B122,0,10*参照飽和表!$C$1,)</f>
        <v>0</v>
      </c>
      <c r="B122" s="162">
        <f ca="1">OFFSET(飽和表集!C122,0,10*参照飽和表!$C$1,)</f>
        <v>0</v>
      </c>
      <c r="C122" s="163">
        <f ca="1">OFFSET(飽和表集!D122,0,10*参照飽和表!$C$1,)</f>
        <v>0</v>
      </c>
      <c r="D122" s="162">
        <f ca="1">OFFSET(飽和表集!E122,0,10*参照飽和表!$C$1,)</f>
        <v>0</v>
      </c>
      <c r="E122" s="163">
        <f ca="1">OFFSET(飽和表集!F122,0,10*参照飽和表!$C$1,)</f>
        <v>0</v>
      </c>
      <c r="F122" s="164">
        <f ca="1">OFFSET(飽和表集!G122,0,10*参照飽和表!$C$1,)</f>
        <v>0</v>
      </c>
      <c r="G122" s="165">
        <f ca="1">OFFSET(飽和表集!H122,0,10*参照飽和表!$C$1,)</f>
        <v>0</v>
      </c>
      <c r="H122" s="164">
        <f ca="1">OFFSET(飽和表集!I122,0,10*参照飽和表!$C$1,)</f>
        <v>0</v>
      </c>
      <c r="I122" s="165">
        <f ca="1">OFFSET(飽和表集!J122,0,10*参照飽和表!$C$1,)</f>
        <v>0</v>
      </c>
    </row>
    <row r="123" spans="1:9" x14ac:dyDescent="0.4">
      <c r="A123" s="44">
        <f ca="1">OFFSET(飽和表集!B123,0,10*参照飽和表!$C$1,)</f>
        <v>0</v>
      </c>
      <c r="B123" s="157">
        <f ca="1">OFFSET(飽和表集!C123,0,10*参照飽和表!$C$1,)</f>
        <v>0</v>
      </c>
      <c r="C123" s="158">
        <f ca="1">OFFSET(飽和表集!D123,0,10*参照飽和表!$C$1,)</f>
        <v>0</v>
      </c>
      <c r="D123" s="159">
        <f ca="1">OFFSET(飽和表集!E123,0,10*参照飽和表!$C$1,)</f>
        <v>0</v>
      </c>
      <c r="E123" s="160">
        <f ca="1">OFFSET(飽和表集!F123,0,10*参照飽和表!$C$1,)</f>
        <v>0</v>
      </c>
      <c r="F123" s="161">
        <f ca="1">OFFSET(飽和表集!G123,0,10*参照飽和表!$C$1,)</f>
        <v>0</v>
      </c>
      <c r="G123" s="158">
        <f ca="1">OFFSET(飽和表集!H123,0,10*参照飽和表!$C$1,)</f>
        <v>0</v>
      </c>
      <c r="H123" s="159">
        <f ca="1">OFFSET(飽和表集!I123,0,10*参照飽和表!$C$1,)</f>
        <v>0</v>
      </c>
      <c r="I123" s="158">
        <f ca="1">OFFSET(飽和表集!J123,0,10*参照飽和表!$C$1,)</f>
        <v>0</v>
      </c>
    </row>
    <row r="124" spans="1:9" x14ac:dyDescent="0.4">
      <c r="A124" s="45">
        <f ca="1">OFFSET(飽和表集!B124,0,10*参照飽和表!$C$1,)</f>
        <v>0</v>
      </c>
      <c r="B124" s="162">
        <f ca="1">OFFSET(飽和表集!C124,0,10*参照飽和表!$C$1,)</f>
        <v>0</v>
      </c>
      <c r="C124" s="163">
        <f ca="1">OFFSET(飽和表集!D124,0,10*参照飽和表!$C$1,)</f>
        <v>0</v>
      </c>
      <c r="D124" s="162">
        <f ca="1">OFFSET(飽和表集!E124,0,10*参照飽和表!$C$1,)</f>
        <v>0</v>
      </c>
      <c r="E124" s="163">
        <f ca="1">OFFSET(飽和表集!F124,0,10*参照飽和表!$C$1,)</f>
        <v>0</v>
      </c>
      <c r="F124" s="164">
        <f ca="1">OFFSET(飽和表集!G124,0,10*参照飽和表!$C$1,)</f>
        <v>0</v>
      </c>
      <c r="G124" s="165">
        <f ca="1">OFFSET(飽和表集!H124,0,10*参照飽和表!$C$1,)</f>
        <v>0</v>
      </c>
      <c r="H124" s="164">
        <f ca="1">OFFSET(飽和表集!I124,0,10*参照飽和表!$C$1,)</f>
        <v>0</v>
      </c>
      <c r="I124" s="165">
        <f ca="1">OFFSET(飽和表集!J124,0,10*参照飽和表!$C$1,)</f>
        <v>0</v>
      </c>
    </row>
    <row r="125" spans="1:9" x14ac:dyDescent="0.4">
      <c r="A125" s="44">
        <f ca="1">OFFSET(飽和表集!B125,0,10*参照飽和表!$C$1,)</f>
        <v>0</v>
      </c>
      <c r="B125" s="157">
        <f ca="1">OFFSET(飽和表集!C125,0,10*参照飽和表!$C$1,)</f>
        <v>0</v>
      </c>
      <c r="C125" s="158">
        <f ca="1">OFFSET(飽和表集!D125,0,10*参照飽和表!$C$1,)</f>
        <v>0</v>
      </c>
      <c r="D125" s="159">
        <f ca="1">OFFSET(飽和表集!E125,0,10*参照飽和表!$C$1,)</f>
        <v>0</v>
      </c>
      <c r="E125" s="160">
        <f ca="1">OFFSET(飽和表集!F125,0,10*参照飽和表!$C$1,)</f>
        <v>0</v>
      </c>
      <c r="F125" s="161">
        <f ca="1">OFFSET(飽和表集!G125,0,10*参照飽和表!$C$1,)</f>
        <v>0</v>
      </c>
      <c r="G125" s="158">
        <f ca="1">OFFSET(飽和表集!H125,0,10*参照飽和表!$C$1,)</f>
        <v>0</v>
      </c>
      <c r="H125" s="159">
        <f ca="1">OFFSET(飽和表集!I125,0,10*参照飽和表!$C$1,)</f>
        <v>0</v>
      </c>
      <c r="I125" s="158">
        <f ca="1">OFFSET(飽和表集!J125,0,10*参照飽和表!$C$1,)</f>
        <v>0</v>
      </c>
    </row>
    <row r="126" spans="1:9" x14ac:dyDescent="0.4">
      <c r="A126" s="45">
        <f ca="1">OFFSET(飽和表集!B126,0,10*参照飽和表!$C$1,)</f>
        <v>0</v>
      </c>
      <c r="B126" s="162">
        <f ca="1">OFFSET(飽和表集!C126,0,10*参照飽和表!$C$1,)</f>
        <v>0</v>
      </c>
      <c r="C126" s="163">
        <f ca="1">OFFSET(飽和表集!D126,0,10*参照飽和表!$C$1,)</f>
        <v>0</v>
      </c>
      <c r="D126" s="162">
        <f ca="1">OFFSET(飽和表集!E126,0,10*参照飽和表!$C$1,)</f>
        <v>0</v>
      </c>
      <c r="E126" s="163">
        <f ca="1">OFFSET(飽和表集!F126,0,10*参照飽和表!$C$1,)</f>
        <v>0</v>
      </c>
      <c r="F126" s="164">
        <f ca="1">OFFSET(飽和表集!G126,0,10*参照飽和表!$C$1,)</f>
        <v>0</v>
      </c>
      <c r="G126" s="165">
        <f ca="1">OFFSET(飽和表集!H126,0,10*参照飽和表!$C$1,)</f>
        <v>0</v>
      </c>
      <c r="H126" s="164">
        <f ca="1">OFFSET(飽和表集!I126,0,10*参照飽和表!$C$1,)</f>
        <v>0</v>
      </c>
      <c r="I126" s="165">
        <f ca="1">OFFSET(飽和表集!J126,0,10*参照飽和表!$C$1,)</f>
        <v>0</v>
      </c>
    </row>
    <row r="127" spans="1:9" x14ac:dyDescent="0.4">
      <c r="A127" s="44">
        <f ca="1">OFFSET(飽和表集!B127,0,10*参照飽和表!$C$1,)</f>
        <v>0</v>
      </c>
      <c r="B127" s="157">
        <f ca="1">OFFSET(飽和表集!C127,0,10*参照飽和表!$C$1,)</f>
        <v>0</v>
      </c>
      <c r="C127" s="158">
        <f ca="1">OFFSET(飽和表集!D127,0,10*参照飽和表!$C$1,)</f>
        <v>0</v>
      </c>
      <c r="D127" s="159">
        <f ca="1">OFFSET(飽和表集!E127,0,10*参照飽和表!$C$1,)</f>
        <v>0</v>
      </c>
      <c r="E127" s="160">
        <f ca="1">OFFSET(飽和表集!F127,0,10*参照飽和表!$C$1,)</f>
        <v>0</v>
      </c>
      <c r="F127" s="161">
        <f ca="1">OFFSET(飽和表集!G127,0,10*参照飽和表!$C$1,)</f>
        <v>0</v>
      </c>
      <c r="G127" s="158">
        <f ca="1">OFFSET(飽和表集!H127,0,10*参照飽和表!$C$1,)</f>
        <v>0</v>
      </c>
      <c r="H127" s="159">
        <f ca="1">OFFSET(飽和表集!I127,0,10*参照飽和表!$C$1,)</f>
        <v>0</v>
      </c>
      <c r="I127" s="158">
        <f ca="1">OFFSET(飽和表集!J127,0,10*参照飽和表!$C$1,)</f>
        <v>0</v>
      </c>
    </row>
    <row r="128" spans="1:9" x14ac:dyDescent="0.4">
      <c r="A128" s="45">
        <f ca="1">OFFSET(飽和表集!B128,0,10*参照飽和表!$C$1,)</f>
        <v>0</v>
      </c>
      <c r="B128" s="162">
        <f ca="1">OFFSET(飽和表集!C128,0,10*参照飽和表!$C$1,)</f>
        <v>0</v>
      </c>
      <c r="C128" s="163">
        <f ca="1">OFFSET(飽和表集!D128,0,10*参照飽和表!$C$1,)</f>
        <v>0</v>
      </c>
      <c r="D128" s="162">
        <f ca="1">OFFSET(飽和表集!E128,0,10*参照飽和表!$C$1,)</f>
        <v>0</v>
      </c>
      <c r="E128" s="163">
        <f ca="1">OFFSET(飽和表集!F128,0,10*参照飽和表!$C$1,)</f>
        <v>0</v>
      </c>
      <c r="F128" s="164">
        <f ca="1">OFFSET(飽和表集!G128,0,10*参照飽和表!$C$1,)</f>
        <v>0</v>
      </c>
      <c r="G128" s="165">
        <f ca="1">OFFSET(飽和表集!H128,0,10*参照飽和表!$C$1,)</f>
        <v>0</v>
      </c>
      <c r="H128" s="164">
        <f ca="1">OFFSET(飽和表集!I128,0,10*参照飽和表!$C$1,)</f>
        <v>0</v>
      </c>
      <c r="I128" s="165">
        <f ca="1">OFFSET(飽和表集!J128,0,10*参照飽和表!$C$1,)</f>
        <v>0</v>
      </c>
    </row>
    <row r="129" spans="1:9" x14ac:dyDescent="0.4">
      <c r="A129" s="44">
        <f ca="1">OFFSET(飽和表集!B129,0,10*参照飽和表!$C$1,)</f>
        <v>0</v>
      </c>
      <c r="B129" s="157">
        <f ca="1">OFFSET(飽和表集!C129,0,10*参照飽和表!$C$1,)</f>
        <v>0</v>
      </c>
      <c r="C129" s="158">
        <f ca="1">OFFSET(飽和表集!D129,0,10*参照飽和表!$C$1,)</f>
        <v>0</v>
      </c>
      <c r="D129" s="159">
        <f ca="1">OFFSET(飽和表集!E129,0,10*参照飽和表!$C$1,)</f>
        <v>0</v>
      </c>
      <c r="E129" s="160">
        <f ca="1">OFFSET(飽和表集!F129,0,10*参照飽和表!$C$1,)</f>
        <v>0</v>
      </c>
      <c r="F129" s="161">
        <f ca="1">OFFSET(飽和表集!G129,0,10*参照飽和表!$C$1,)</f>
        <v>0</v>
      </c>
      <c r="G129" s="158">
        <f ca="1">OFFSET(飽和表集!H129,0,10*参照飽和表!$C$1,)</f>
        <v>0</v>
      </c>
      <c r="H129" s="159">
        <f ca="1">OFFSET(飽和表集!I129,0,10*参照飽和表!$C$1,)</f>
        <v>0</v>
      </c>
      <c r="I129" s="158">
        <f ca="1">OFFSET(飽和表集!J129,0,10*参照飽和表!$C$1,)</f>
        <v>0</v>
      </c>
    </row>
    <row r="130" spans="1:9" x14ac:dyDescent="0.4">
      <c r="A130" s="45">
        <f ca="1">OFFSET(飽和表集!B130,0,10*参照飽和表!$C$1,)</f>
        <v>0</v>
      </c>
      <c r="B130" s="162">
        <f ca="1">OFFSET(飽和表集!C130,0,10*参照飽和表!$C$1,)</f>
        <v>0</v>
      </c>
      <c r="C130" s="163">
        <f ca="1">OFFSET(飽和表集!D130,0,10*参照飽和表!$C$1,)</f>
        <v>0</v>
      </c>
      <c r="D130" s="162">
        <f ca="1">OFFSET(飽和表集!E130,0,10*参照飽和表!$C$1,)</f>
        <v>0</v>
      </c>
      <c r="E130" s="163">
        <f ca="1">OFFSET(飽和表集!F130,0,10*参照飽和表!$C$1,)</f>
        <v>0</v>
      </c>
      <c r="F130" s="164">
        <f ca="1">OFFSET(飽和表集!G130,0,10*参照飽和表!$C$1,)</f>
        <v>0</v>
      </c>
      <c r="G130" s="165">
        <f ca="1">OFFSET(飽和表集!H130,0,10*参照飽和表!$C$1,)</f>
        <v>0</v>
      </c>
      <c r="H130" s="164">
        <f ca="1">OFFSET(飽和表集!I130,0,10*参照飽和表!$C$1,)</f>
        <v>0</v>
      </c>
      <c r="I130" s="165">
        <f ca="1">OFFSET(飽和表集!J130,0,10*参照飽和表!$C$1,)</f>
        <v>0</v>
      </c>
    </row>
    <row r="131" spans="1:9" x14ac:dyDescent="0.4">
      <c r="A131" s="44">
        <f ca="1">OFFSET(飽和表集!B131,0,10*参照飽和表!$C$1,)</f>
        <v>0</v>
      </c>
      <c r="B131" s="157">
        <f ca="1">OFFSET(飽和表集!C131,0,10*参照飽和表!$C$1,)</f>
        <v>0</v>
      </c>
      <c r="C131" s="158">
        <f ca="1">OFFSET(飽和表集!D131,0,10*参照飽和表!$C$1,)</f>
        <v>0</v>
      </c>
      <c r="D131" s="159">
        <f ca="1">OFFSET(飽和表集!E131,0,10*参照飽和表!$C$1,)</f>
        <v>0</v>
      </c>
      <c r="E131" s="160">
        <f ca="1">OFFSET(飽和表集!F131,0,10*参照飽和表!$C$1,)</f>
        <v>0</v>
      </c>
      <c r="F131" s="161">
        <f ca="1">OFFSET(飽和表集!G131,0,10*参照飽和表!$C$1,)</f>
        <v>0</v>
      </c>
      <c r="G131" s="158">
        <f ca="1">OFFSET(飽和表集!H131,0,10*参照飽和表!$C$1,)</f>
        <v>0</v>
      </c>
      <c r="H131" s="159">
        <f ca="1">OFFSET(飽和表集!I131,0,10*参照飽和表!$C$1,)</f>
        <v>0</v>
      </c>
      <c r="I131" s="158">
        <f ca="1">OFFSET(飽和表集!J131,0,10*参照飽和表!$C$1,)</f>
        <v>0</v>
      </c>
    </row>
    <row r="132" spans="1:9" x14ac:dyDescent="0.4">
      <c r="A132" s="45">
        <f ca="1">OFFSET(飽和表集!B132,0,10*参照飽和表!$C$1,)</f>
        <v>0</v>
      </c>
      <c r="B132" s="162">
        <f ca="1">OFFSET(飽和表集!C132,0,10*参照飽和表!$C$1,)</f>
        <v>0</v>
      </c>
      <c r="C132" s="163">
        <f ca="1">OFFSET(飽和表集!D132,0,10*参照飽和表!$C$1,)</f>
        <v>0</v>
      </c>
      <c r="D132" s="162">
        <f ca="1">OFFSET(飽和表集!E132,0,10*参照飽和表!$C$1,)</f>
        <v>0</v>
      </c>
      <c r="E132" s="163">
        <f ca="1">OFFSET(飽和表集!F132,0,10*参照飽和表!$C$1,)</f>
        <v>0</v>
      </c>
      <c r="F132" s="164">
        <f ca="1">OFFSET(飽和表集!G132,0,10*参照飽和表!$C$1,)</f>
        <v>0</v>
      </c>
      <c r="G132" s="165">
        <f ca="1">OFFSET(飽和表集!H132,0,10*参照飽和表!$C$1,)</f>
        <v>0</v>
      </c>
      <c r="H132" s="164">
        <f ca="1">OFFSET(飽和表集!I132,0,10*参照飽和表!$C$1,)</f>
        <v>0</v>
      </c>
      <c r="I132" s="165">
        <f ca="1">OFFSET(飽和表集!J132,0,10*参照飽和表!$C$1,)</f>
        <v>0</v>
      </c>
    </row>
    <row r="133" spans="1:9" x14ac:dyDescent="0.4">
      <c r="A133" s="44">
        <f ca="1">OFFSET(飽和表集!B133,0,10*参照飽和表!$C$1,)</f>
        <v>0</v>
      </c>
      <c r="B133" s="157">
        <f ca="1">OFFSET(飽和表集!C133,0,10*参照飽和表!$C$1,)</f>
        <v>0</v>
      </c>
      <c r="C133" s="158">
        <f ca="1">OFFSET(飽和表集!D133,0,10*参照飽和表!$C$1,)</f>
        <v>0</v>
      </c>
      <c r="D133" s="159">
        <f ca="1">OFFSET(飽和表集!E133,0,10*参照飽和表!$C$1,)</f>
        <v>0</v>
      </c>
      <c r="E133" s="160">
        <f ca="1">OFFSET(飽和表集!F133,0,10*参照飽和表!$C$1,)</f>
        <v>0</v>
      </c>
      <c r="F133" s="161">
        <f ca="1">OFFSET(飽和表集!G133,0,10*参照飽和表!$C$1,)</f>
        <v>0</v>
      </c>
      <c r="G133" s="158">
        <f ca="1">OFFSET(飽和表集!H133,0,10*参照飽和表!$C$1,)</f>
        <v>0</v>
      </c>
      <c r="H133" s="159">
        <f ca="1">OFFSET(飽和表集!I133,0,10*参照飽和表!$C$1,)</f>
        <v>0</v>
      </c>
      <c r="I133" s="158">
        <f ca="1">OFFSET(飽和表集!J133,0,10*参照飽和表!$C$1,)</f>
        <v>0</v>
      </c>
    </row>
    <row r="134" spans="1:9" x14ac:dyDescent="0.4">
      <c r="A134" s="45">
        <f ca="1">OFFSET(飽和表集!B134,0,10*参照飽和表!$C$1,)</f>
        <v>0</v>
      </c>
      <c r="B134" s="162">
        <f ca="1">OFFSET(飽和表集!C134,0,10*参照飽和表!$C$1,)</f>
        <v>0</v>
      </c>
      <c r="C134" s="163">
        <f ca="1">OFFSET(飽和表集!D134,0,10*参照飽和表!$C$1,)</f>
        <v>0</v>
      </c>
      <c r="D134" s="162">
        <f ca="1">OFFSET(飽和表集!E134,0,10*参照飽和表!$C$1,)</f>
        <v>0</v>
      </c>
      <c r="E134" s="163">
        <f ca="1">OFFSET(飽和表集!F134,0,10*参照飽和表!$C$1,)</f>
        <v>0</v>
      </c>
      <c r="F134" s="164">
        <f ca="1">OFFSET(飽和表集!G134,0,10*参照飽和表!$C$1,)</f>
        <v>0</v>
      </c>
      <c r="G134" s="165">
        <f ca="1">OFFSET(飽和表集!H134,0,10*参照飽和表!$C$1,)</f>
        <v>0</v>
      </c>
      <c r="H134" s="164">
        <f ca="1">OFFSET(飽和表集!I134,0,10*参照飽和表!$C$1,)</f>
        <v>0</v>
      </c>
      <c r="I134" s="165">
        <f ca="1">OFFSET(飽和表集!J134,0,10*参照飽和表!$C$1,)</f>
        <v>0</v>
      </c>
    </row>
    <row r="135" spans="1:9" x14ac:dyDescent="0.4">
      <c r="A135" s="44">
        <f ca="1">OFFSET(飽和表集!B135,0,10*参照飽和表!$C$1,)</f>
        <v>0</v>
      </c>
      <c r="B135" s="157">
        <f ca="1">OFFSET(飽和表集!C135,0,10*参照飽和表!$C$1,)</f>
        <v>0</v>
      </c>
      <c r="C135" s="158">
        <f ca="1">OFFSET(飽和表集!D135,0,10*参照飽和表!$C$1,)</f>
        <v>0</v>
      </c>
      <c r="D135" s="159">
        <f ca="1">OFFSET(飽和表集!E135,0,10*参照飽和表!$C$1,)</f>
        <v>0</v>
      </c>
      <c r="E135" s="160">
        <f ca="1">OFFSET(飽和表集!F135,0,10*参照飽和表!$C$1,)</f>
        <v>0</v>
      </c>
      <c r="F135" s="161">
        <f ca="1">OFFSET(飽和表集!G135,0,10*参照飽和表!$C$1,)</f>
        <v>0</v>
      </c>
      <c r="G135" s="158">
        <f ca="1">OFFSET(飽和表集!H135,0,10*参照飽和表!$C$1,)</f>
        <v>0</v>
      </c>
      <c r="H135" s="159">
        <f ca="1">OFFSET(飽和表集!I135,0,10*参照飽和表!$C$1,)</f>
        <v>0</v>
      </c>
      <c r="I135" s="158">
        <f ca="1">OFFSET(飽和表集!J135,0,10*参照飽和表!$C$1,)</f>
        <v>0</v>
      </c>
    </row>
  </sheetData>
  <mergeCells count="8">
    <mergeCell ref="B2:C2"/>
    <mergeCell ref="D2:E2"/>
    <mergeCell ref="F2:G2"/>
    <mergeCell ref="H2:I2"/>
    <mergeCell ref="B3:C3"/>
    <mergeCell ref="D3:E3"/>
    <mergeCell ref="F3:G3"/>
    <mergeCell ref="H3:I3"/>
  </mergeCells>
  <phoneticPr fontId="1"/>
  <dataValidations count="1">
    <dataValidation type="list" allowBlank="1" showInputMessage="1" showErrorMessage="1" sqref="B1" xr:uid="{CE0519C9-6274-4A57-9DDB-5800703FF602}">
      <formula1>"R404A,R410A,R448A,R463A-J,CO2,R717"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D2844-984F-4C5D-8C6F-ACC1407C4587}">
  <sheetPr codeName="Sheet5"/>
  <dimension ref="B1:BH135"/>
  <sheetViews>
    <sheetView workbookViewId="0">
      <pane xSplit="2" ySplit="4" topLeftCell="D5" activePane="bottomRight" state="frozen"/>
      <selection activeCell="C6" sqref="C6"/>
      <selection pane="topRight" activeCell="C6" sqref="C6"/>
      <selection pane="bottomLeft" activeCell="C6" sqref="C6"/>
      <selection pane="bottomRight" activeCell="AS6" sqref="AS6"/>
    </sheetView>
  </sheetViews>
  <sheetFormatPr defaultRowHeight="15.75" x14ac:dyDescent="0.4"/>
  <cols>
    <col min="1" max="4" width="9" style="51"/>
    <col min="5" max="5" width="10.375" style="51" customWidth="1"/>
    <col min="6" max="6" width="9.875" style="51" bestFit="1" customWidth="1"/>
    <col min="7" max="14" width="9" style="51"/>
    <col min="15" max="15" width="10.375" style="51" customWidth="1"/>
    <col min="16" max="16384" width="9" style="51"/>
  </cols>
  <sheetData>
    <row r="1" spans="2:60" ht="16.5" thickBot="1" x14ac:dyDescent="0.45">
      <c r="B1" s="50" t="s">
        <v>106</v>
      </c>
      <c r="C1" s="50"/>
      <c r="L1" s="50" t="s">
        <v>107</v>
      </c>
      <c r="V1" s="50" t="s">
        <v>108</v>
      </c>
      <c r="AF1" s="50" t="s">
        <v>103</v>
      </c>
      <c r="AG1" s="50"/>
      <c r="AP1" s="50" t="s">
        <v>104</v>
      </c>
      <c r="AZ1" s="50" t="s">
        <v>105</v>
      </c>
    </row>
    <row r="2" spans="2:60" x14ac:dyDescent="0.4">
      <c r="B2" s="52" t="s">
        <v>54</v>
      </c>
      <c r="C2" s="53" t="s">
        <v>84</v>
      </c>
      <c r="D2" s="54"/>
      <c r="E2" s="55" t="s">
        <v>85</v>
      </c>
      <c r="F2" s="56"/>
      <c r="G2" s="53" t="s">
        <v>86</v>
      </c>
      <c r="H2" s="54"/>
      <c r="I2" s="55" t="s">
        <v>87</v>
      </c>
      <c r="J2" s="54"/>
      <c r="L2" s="52" t="s">
        <v>54</v>
      </c>
      <c r="M2" s="53" t="s">
        <v>84</v>
      </c>
      <c r="N2" s="54"/>
      <c r="O2" s="55" t="s">
        <v>85</v>
      </c>
      <c r="P2" s="56"/>
      <c r="Q2" s="53" t="s">
        <v>86</v>
      </c>
      <c r="R2" s="54"/>
      <c r="S2" s="55" t="s">
        <v>87</v>
      </c>
      <c r="T2" s="54"/>
      <c r="V2" s="52" t="s">
        <v>54</v>
      </c>
      <c r="W2" s="53" t="s">
        <v>84</v>
      </c>
      <c r="X2" s="54"/>
      <c r="Y2" s="55" t="s">
        <v>109</v>
      </c>
      <c r="Z2" s="56"/>
      <c r="AA2" s="53" t="s">
        <v>86</v>
      </c>
      <c r="AB2" s="54"/>
      <c r="AC2" s="55" t="s">
        <v>87</v>
      </c>
      <c r="AD2" s="54"/>
      <c r="AF2" s="52" t="s">
        <v>54</v>
      </c>
      <c r="AG2" s="57" t="s">
        <v>84</v>
      </c>
      <c r="AH2" s="58"/>
      <c r="AI2" s="57" t="s">
        <v>85</v>
      </c>
      <c r="AJ2" s="58"/>
      <c r="AK2" s="57" t="s">
        <v>86</v>
      </c>
      <c r="AL2" s="58"/>
      <c r="AM2" s="57" t="s">
        <v>87</v>
      </c>
      <c r="AN2" s="58"/>
      <c r="AP2" s="52" t="s">
        <v>54</v>
      </c>
      <c r="AQ2" s="57" t="s">
        <v>84</v>
      </c>
      <c r="AR2" s="59"/>
      <c r="AS2" s="53" t="s">
        <v>110</v>
      </c>
      <c r="AT2" s="54"/>
      <c r="AU2" s="53" t="s">
        <v>86</v>
      </c>
      <c r="AV2" s="54"/>
      <c r="AW2" s="55" t="s">
        <v>87</v>
      </c>
      <c r="AX2" s="54"/>
      <c r="AZ2" s="52" t="s">
        <v>54</v>
      </c>
      <c r="BA2" s="57" t="s">
        <v>84</v>
      </c>
      <c r="BB2" s="59"/>
      <c r="BC2" s="53" t="s">
        <v>110</v>
      </c>
      <c r="BD2" s="54"/>
      <c r="BE2" s="53" t="s">
        <v>86</v>
      </c>
      <c r="BF2" s="54"/>
      <c r="BG2" s="55" t="s">
        <v>87</v>
      </c>
      <c r="BH2" s="54"/>
    </row>
    <row r="3" spans="2:60" ht="16.5" thickBot="1" x14ac:dyDescent="0.45">
      <c r="B3" s="60" t="s">
        <v>93</v>
      </c>
      <c r="C3" s="61" t="s">
        <v>94</v>
      </c>
      <c r="D3" s="62"/>
      <c r="E3" s="63" t="s">
        <v>95</v>
      </c>
      <c r="F3" s="64"/>
      <c r="G3" s="61" t="s">
        <v>96</v>
      </c>
      <c r="H3" s="62"/>
      <c r="I3" s="63" t="s">
        <v>97</v>
      </c>
      <c r="J3" s="62"/>
      <c r="L3" s="60" t="s">
        <v>93</v>
      </c>
      <c r="M3" s="61" t="s">
        <v>94</v>
      </c>
      <c r="N3" s="62"/>
      <c r="O3" s="63" t="s">
        <v>95</v>
      </c>
      <c r="P3" s="64"/>
      <c r="Q3" s="61" t="s">
        <v>96</v>
      </c>
      <c r="R3" s="62"/>
      <c r="S3" s="63" t="s">
        <v>97</v>
      </c>
      <c r="T3" s="62"/>
      <c r="V3" s="60" t="s">
        <v>93</v>
      </c>
      <c r="W3" s="61" t="s">
        <v>94</v>
      </c>
      <c r="X3" s="62"/>
      <c r="Y3" s="63" t="s">
        <v>111</v>
      </c>
      <c r="Z3" s="64"/>
      <c r="AA3" s="61" t="s">
        <v>96</v>
      </c>
      <c r="AB3" s="62"/>
      <c r="AC3" s="63" t="s">
        <v>97</v>
      </c>
      <c r="AD3" s="62"/>
      <c r="AF3" s="60" t="s">
        <v>112</v>
      </c>
      <c r="AG3" s="65" t="s">
        <v>113</v>
      </c>
      <c r="AH3" s="66"/>
      <c r="AI3" s="65" t="s">
        <v>114</v>
      </c>
      <c r="AJ3" s="66"/>
      <c r="AK3" s="65" t="s">
        <v>115</v>
      </c>
      <c r="AL3" s="66"/>
      <c r="AM3" s="65" t="s">
        <v>116</v>
      </c>
      <c r="AN3" s="66"/>
      <c r="AP3" s="60" t="s">
        <v>93</v>
      </c>
      <c r="AQ3" s="65" t="s">
        <v>94</v>
      </c>
      <c r="AR3" s="67"/>
      <c r="AS3" s="61" t="s">
        <v>95</v>
      </c>
      <c r="AT3" s="62"/>
      <c r="AU3" s="61" t="s">
        <v>96</v>
      </c>
      <c r="AV3" s="62"/>
      <c r="AW3" s="63" t="s">
        <v>97</v>
      </c>
      <c r="AX3" s="62"/>
      <c r="AZ3" s="60" t="s">
        <v>93</v>
      </c>
      <c r="BA3" s="65" t="s">
        <v>94</v>
      </c>
      <c r="BB3" s="67"/>
      <c r="BC3" s="61" t="s">
        <v>95</v>
      </c>
      <c r="BD3" s="62"/>
      <c r="BE3" s="61" t="s">
        <v>96</v>
      </c>
      <c r="BF3" s="62"/>
      <c r="BG3" s="63" t="s">
        <v>97</v>
      </c>
      <c r="BH3" s="62"/>
    </row>
    <row r="4" spans="2:60" ht="16.5" thickBot="1" x14ac:dyDescent="0.45">
      <c r="B4" s="68"/>
      <c r="C4" s="69" t="s">
        <v>99</v>
      </c>
      <c r="D4" s="70" t="s">
        <v>100</v>
      </c>
      <c r="E4" s="71" t="s">
        <v>99</v>
      </c>
      <c r="F4" s="72" t="s">
        <v>100</v>
      </c>
      <c r="G4" s="69" t="s">
        <v>99</v>
      </c>
      <c r="H4" s="70" t="s">
        <v>100</v>
      </c>
      <c r="I4" s="71" t="s">
        <v>99</v>
      </c>
      <c r="J4" s="70" t="s">
        <v>100</v>
      </c>
      <c r="L4" s="68"/>
      <c r="M4" s="69" t="s">
        <v>99</v>
      </c>
      <c r="N4" s="70" t="s">
        <v>100</v>
      </c>
      <c r="O4" s="71" t="s">
        <v>99</v>
      </c>
      <c r="P4" s="72" t="s">
        <v>100</v>
      </c>
      <c r="Q4" s="69" t="s">
        <v>99</v>
      </c>
      <c r="R4" s="70" t="s">
        <v>100</v>
      </c>
      <c r="S4" s="71" t="s">
        <v>99</v>
      </c>
      <c r="T4" s="70" t="s">
        <v>100</v>
      </c>
      <c r="V4" s="68"/>
      <c r="W4" s="69" t="s">
        <v>99</v>
      </c>
      <c r="X4" s="70" t="s">
        <v>100</v>
      </c>
      <c r="Y4" s="71" t="s">
        <v>99</v>
      </c>
      <c r="Z4" s="72" t="s">
        <v>100</v>
      </c>
      <c r="AA4" s="69" t="s">
        <v>99</v>
      </c>
      <c r="AB4" s="70" t="s">
        <v>100</v>
      </c>
      <c r="AC4" s="71" t="s">
        <v>99</v>
      </c>
      <c r="AD4" s="70" t="s">
        <v>100</v>
      </c>
      <c r="AF4" s="73"/>
      <c r="AG4" s="74" t="s">
        <v>99</v>
      </c>
      <c r="AH4" s="75" t="s">
        <v>100</v>
      </c>
      <c r="AI4" s="69" t="s">
        <v>99</v>
      </c>
      <c r="AJ4" s="76" t="s">
        <v>100</v>
      </c>
      <c r="AK4" s="74" t="s">
        <v>99</v>
      </c>
      <c r="AL4" s="75" t="s">
        <v>100</v>
      </c>
      <c r="AM4" s="77" t="s">
        <v>99</v>
      </c>
      <c r="AN4" s="75" t="s">
        <v>100</v>
      </c>
      <c r="AP4" s="68"/>
      <c r="AQ4" s="69" t="s">
        <v>99</v>
      </c>
      <c r="AR4" s="78"/>
      <c r="AS4" s="69" t="s">
        <v>99</v>
      </c>
      <c r="AT4" s="72" t="s">
        <v>100</v>
      </c>
      <c r="AU4" s="69" t="s">
        <v>99</v>
      </c>
      <c r="AV4" s="70" t="s">
        <v>100</v>
      </c>
      <c r="AW4" s="71" t="s">
        <v>99</v>
      </c>
      <c r="AX4" s="70" t="s">
        <v>100</v>
      </c>
      <c r="AZ4" s="68"/>
      <c r="BA4" s="69" t="s">
        <v>99</v>
      </c>
      <c r="BB4" s="78"/>
      <c r="BC4" s="69" t="s">
        <v>99</v>
      </c>
      <c r="BD4" s="72" t="s">
        <v>100</v>
      </c>
      <c r="BE4" s="69" t="s">
        <v>99</v>
      </c>
      <c r="BF4" s="70" t="s">
        <v>100</v>
      </c>
      <c r="BG4" s="71" t="s">
        <v>99</v>
      </c>
      <c r="BH4" s="70" t="s">
        <v>100</v>
      </c>
    </row>
    <row r="5" spans="2:60" x14ac:dyDescent="0.4">
      <c r="B5" s="79">
        <v>-70</v>
      </c>
      <c r="C5" s="80">
        <v>2.76E-2</v>
      </c>
      <c r="D5" s="81">
        <v>2.5999999999999999E-2</v>
      </c>
      <c r="E5" s="82">
        <v>7.2670000000000005E-4</v>
      </c>
      <c r="F5" s="83">
        <v>0.65241000000000005</v>
      </c>
      <c r="G5" s="84">
        <v>110.72</v>
      </c>
      <c r="H5" s="81">
        <v>325.69</v>
      </c>
      <c r="I5" s="82">
        <v>0.62560000000000004</v>
      </c>
      <c r="J5" s="81">
        <v>1.6870000000000001</v>
      </c>
      <c r="L5" s="79">
        <v>-70</v>
      </c>
      <c r="M5" s="80">
        <v>4.5999999999999999E-2</v>
      </c>
      <c r="N5" s="81">
        <v>3.5999999999999997E-2</v>
      </c>
      <c r="O5" s="85">
        <v>7.1193999999999999E-4</v>
      </c>
      <c r="P5" s="86">
        <v>0.64049</v>
      </c>
      <c r="Q5" s="80">
        <v>102.03</v>
      </c>
      <c r="R5" s="81">
        <v>389.23</v>
      </c>
      <c r="S5" s="82">
        <v>0.58960000000000001</v>
      </c>
      <c r="T5" s="81">
        <v>2.0036999999999998</v>
      </c>
      <c r="V5" s="79">
        <v>-70</v>
      </c>
      <c r="W5" s="80">
        <v>2.7097E-2</v>
      </c>
      <c r="X5" s="81">
        <v>1.7777999999999999E-2</v>
      </c>
      <c r="Y5" s="82">
        <v>7.0427494894006613E-4</v>
      </c>
      <c r="Z5" s="86">
        <v>1.087192868014786</v>
      </c>
      <c r="AA5" s="80">
        <v>106.78</v>
      </c>
      <c r="AB5" s="81">
        <v>360.77</v>
      </c>
      <c r="AC5" s="82">
        <v>0.60865000000000002</v>
      </c>
      <c r="AD5" s="81">
        <v>18824</v>
      </c>
      <c r="AF5" s="87">
        <v>-60</v>
      </c>
      <c r="AG5" s="88">
        <v>9.3799999999999994E-2</v>
      </c>
      <c r="AH5" s="89">
        <v>4.9599999999999998E-2</v>
      </c>
      <c r="AI5" s="80">
        <v>7.3200000000000001E-4</v>
      </c>
      <c r="AJ5" s="89">
        <v>0.46660000000000001</v>
      </c>
      <c r="AK5" s="88">
        <v>114.9</v>
      </c>
      <c r="AL5" s="89">
        <v>386.4</v>
      </c>
      <c r="AM5" s="88">
        <v>0.65200000000000002</v>
      </c>
      <c r="AN5" s="89">
        <v>1.954</v>
      </c>
      <c r="AP5" s="87">
        <v>-50</v>
      </c>
      <c r="AQ5" s="90">
        <v>0.68233999999999995</v>
      </c>
      <c r="AR5" s="91"/>
      <c r="AS5" s="92">
        <v>8.6609999999999996E-4</v>
      </c>
      <c r="AT5" s="83">
        <v>5.5788999999999998E-2</v>
      </c>
      <c r="AU5" s="84">
        <v>92.942999999999998</v>
      </c>
      <c r="AV5" s="93">
        <v>432.68</v>
      </c>
      <c r="AW5" s="92">
        <v>0.57940000000000003</v>
      </c>
      <c r="AX5" s="93">
        <v>2.1017999999999999</v>
      </c>
      <c r="AZ5" s="94">
        <v>-50</v>
      </c>
      <c r="BA5" s="95">
        <v>4.0840000000000001E-2</v>
      </c>
      <c r="BB5" s="96"/>
      <c r="BC5" s="97">
        <v>1.4243000000000001E-3</v>
      </c>
      <c r="BD5" s="96">
        <v>2.6276999999999999</v>
      </c>
      <c r="BE5" s="95">
        <v>-24.7</v>
      </c>
      <c r="BF5" s="98">
        <v>1391.2</v>
      </c>
      <c r="BG5" s="99">
        <v>9.4500000000000001E-2</v>
      </c>
      <c r="BH5" s="98">
        <v>6.4396000000000004</v>
      </c>
    </row>
    <row r="6" spans="2:60" x14ac:dyDescent="0.4">
      <c r="B6" s="100">
        <v>-69</v>
      </c>
      <c r="C6" s="101">
        <f t="shared" ref="C6:J6" si="0">(C5+C7)/2</f>
        <v>2.9399999999999999E-2</v>
      </c>
      <c r="D6" s="102">
        <f t="shared" si="0"/>
        <v>2.7749999999999997E-2</v>
      </c>
      <c r="E6" s="101">
        <f t="shared" si="0"/>
        <v>7.2824999999999995E-4</v>
      </c>
      <c r="F6" s="102">
        <f t="shared" si="0"/>
        <v>0.61638999999999999</v>
      </c>
      <c r="G6" s="103">
        <f t="shared" si="0"/>
        <v>111.91499999999999</v>
      </c>
      <c r="H6" s="104">
        <f t="shared" si="0"/>
        <v>326.3</v>
      </c>
      <c r="I6" s="103">
        <f t="shared" si="0"/>
        <v>0.63145000000000007</v>
      </c>
      <c r="J6" s="104">
        <f t="shared" si="0"/>
        <v>1.6850000000000001</v>
      </c>
      <c r="L6" s="100">
        <v>-69</v>
      </c>
      <c r="M6" s="103">
        <f t="shared" ref="M6:T6" si="1">(M5+M7)/2</f>
        <v>4.2999999999999997E-2</v>
      </c>
      <c r="N6" s="104">
        <f t="shared" si="1"/>
        <v>3.7999999999999999E-2</v>
      </c>
      <c r="O6" s="103">
        <f t="shared" si="1"/>
        <v>7.1340500000000007E-4</v>
      </c>
      <c r="P6" s="104">
        <f t="shared" si="1"/>
        <v>0.60563499999999992</v>
      </c>
      <c r="Q6" s="103">
        <f t="shared" si="1"/>
        <v>103.33</v>
      </c>
      <c r="R6" s="104">
        <f t="shared" si="1"/>
        <v>389.79</v>
      </c>
      <c r="S6" s="103">
        <f t="shared" si="1"/>
        <v>0.59600000000000009</v>
      </c>
      <c r="T6" s="104">
        <f t="shared" si="1"/>
        <v>1.9996</v>
      </c>
      <c r="V6" s="79">
        <v>-69</v>
      </c>
      <c r="W6" s="80">
        <v>2.8844000000000002E-2</v>
      </c>
      <c r="X6" s="81">
        <v>1.9029999999999998E-2</v>
      </c>
      <c r="Y6" s="82">
        <v>7.0571630204657732E-4</v>
      </c>
      <c r="Z6" s="86">
        <v>1.0200334570973928</v>
      </c>
      <c r="AA6" s="80">
        <v>108.05</v>
      </c>
      <c r="AB6" s="81">
        <v>361.39</v>
      </c>
      <c r="AC6" s="82">
        <v>0.6149</v>
      </c>
      <c r="AD6" s="81">
        <v>1.879</v>
      </c>
      <c r="AF6" s="94">
        <v>-59</v>
      </c>
      <c r="AG6" s="84">
        <v>9.8599999999999993E-2</v>
      </c>
      <c r="AH6" s="93">
        <v>5.2600000000000001E-2</v>
      </c>
      <c r="AI6" s="84">
        <v>7.3399999999999995E-4</v>
      </c>
      <c r="AJ6" s="93">
        <v>0.44169999999999998</v>
      </c>
      <c r="AK6" s="84">
        <v>116.2</v>
      </c>
      <c r="AL6" s="93">
        <v>387</v>
      </c>
      <c r="AM6" s="84">
        <v>0.65800000000000003</v>
      </c>
      <c r="AN6" s="93">
        <v>1.9510000000000001</v>
      </c>
      <c r="AP6" s="79">
        <v>-49</v>
      </c>
      <c r="AQ6" s="90">
        <v>0.71048999999999995</v>
      </c>
      <c r="AR6" s="105"/>
      <c r="AS6" s="92">
        <v>8.6890000000000003E-4</v>
      </c>
      <c r="AT6" s="83">
        <v>5.3654E-2</v>
      </c>
      <c r="AU6" s="84">
        <v>94.921999999999997</v>
      </c>
      <c r="AV6" s="93">
        <v>432.99</v>
      </c>
      <c r="AW6" s="92">
        <v>0.58809999999999996</v>
      </c>
      <c r="AX6" s="93">
        <v>2.0962999999999998</v>
      </c>
      <c r="AZ6" s="79">
        <v>-49</v>
      </c>
      <c r="BA6" s="106">
        <f>(BA5+BA7)/2</f>
        <v>4.3374999999999997E-2</v>
      </c>
      <c r="BB6" s="107"/>
      <c r="BC6" s="106">
        <f t="shared" ref="BC6:BH6" si="2">(BC5+BC7)/2</f>
        <v>1.4266999999999999E-3</v>
      </c>
      <c r="BD6" s="108">
        <f t="shared" si="2"/>
        <v>2.4915500000000002</v>
      </c>
      <c r="BE6" s="109">
        <f t="shared" si="2"/>
        <v>-20.350000000000001</v>
      </c>
      <c r="BF6" s="110">
        <f t="shared" si="2"/>
        <v>1392.9</v>
      </c>
      <c r="BG6" s="109">
        <f t="shared" si="2"/>
        <v>0.11395</v>
      </c>
      <c r="BH6" s="110">
        <f t="shared" si="2"/>
        <v>6.4190000000000005</v>
      </c>
    </row>
    <row r="7" spans="2:60" x14ac:dyDescent="0.4">
      <c r="B7" s="94">
        <v>-68</v>
      </c>
      <c r="C7" s="84">
        <v>3.1199999999999999E-2</v>
      </c>
      <c r="D7" s="93">
        <v>2.9499999999999998E-2</v>
      </c>
      <c r="E7" s="92">
        <v>7.2979999999999996E-4</v>
      </c>
      <c r="F7" s="83">
        <v>0.58037000000000005</v>
      </c>
      <c r="G7" s="84">
        <v>113.11</v>
      </c>
      <c r="H7" s="93">
        <v>326.91000000000003</v>
      </c>
      <c r="I7" s="92">
        <v>0.63729999999999998</v>
      </c>
      <c r="J7" s="93">
        <v>1.6830000000000001</v>
      </c>
      <c r="L7" s="79">
        <v>-68</v>
      </c>
      <c r="M7" s="84">
        <v>0.04</v>
      </c>
      <c r="N7" s="93">
        <v>0.04</v>
      </c>
      <c r="O7" s="111">
        <v>7.1487000000000005E-4</v>
      </c>
      <c r="P7" s="83">
        <v>0.57077999999999995</v>
      </c>
      <c r="Q7" s="84">
        <v>104.63</v>
      </c>
      <c r="R7" s="93">
        <v>390.35</v>
      </c>
      <c r="S7" s="92">
        <v>0.60240000000000005</v>
      </c>
      <c r="T7" s="93">
        <v>1.9955000000000001</v>
      </c>
      <c r="V7" s="94">
        <v>-68</v>
      </c>
      <c r="W7" s="84">
        <v>3.0682000000000001E-2</v>
      </c>
      <c r="X7" s="93">
        <v>2.0354000000000001E-2</v>
      </c>
      <c r="Y7" s="92">
        <v>7.0711356243812753E-4</v>
      </c>
      <c r="Z7" s="83">
        <v>0.95776266641126329</v>
      </c>
      <c r="AA7" s="84">
        <v>109.33</v>
      </c>
      <c r="AB7" s="93">
        <v>362</v>
      </c>
      <c r="AC7" s="92">
        <v>0.62112999999999996</v>
      </c>
      <c r="AD7" s="93">
        <v>1.8755999999999999</v>
      </c>
      <c r="AF7" s="94">
        <v>-58</v>
      </c>
      <c r="AG7" s="84">
        <v>0.10349999999999999</v>
      </c>
      <c r="AH7" s="93">
        <v>5.57E-2</v>
      </c>
      <c r="AI7" s="84">
        <v>7.36E-4</v>
      </c>
      <c r="AJ7" s="93">
        <v>0.41839999999999999</v>
      </c>
      <c r="AK7" s="84">
        <v>117.6</v>
      </c>
      <c r="AL7" s="93">
        <v>387.6</v>
      </c>
      <c r="AM7" s="84">
        <v>0.66400000000000003</v>
      </c>
      <c r="AN7" s="93">
        <v>1.9470000000000001</v>
      </c>
      <c r="AP7" s="94">
        <v>-48</v>
      </c>
      <c r="AQ7" s="90">
        <v>0.73948999999999998</v>
      </c>
      <c r="AR7" s="105"/>
      <c r="AS7" s="92">
        <v>8.7180000000000005E-4</v>
      </c>
      <c r="AT7" s="83">
        <v>5.1617999999999997E-2</v>
      </c>
      <c r="AU7" s="84">
        <v>96.905000000000001</v>
      </c>
      <c r="AV7" s="93">
        <v>433.29</v>
      </c>
      <c r="AW7" s="92">
        <v>0.5968</v>
      </c>
      <c r="AX7" s="93">
        <v>2.0909</v>
      </c>
      <c r="AZ7" s="94">
        <v>-48</v>
      </c>
      <c r="BA7" s="90">
        <v>4.5909999999999999E-2</v>
      </c>
      <c r="BB7" s="105"/>
      <c r="BC7" s="80">
        <v>1.4291E-3</v>
      </c>
      <c r="BD7" s="112">
        <v>2.3553999999999999</v>
      </c>
      <c r="BE7" s="84">
        <v>-16</v>
      </c>
      <c r="BF7" s="93">
        <v>1394.6</v>
      </c>
      <c r="BG7" s="92">
        <v>0.13339999999999999</v>
      </c>
      <c r="BH7" s="93">
        <v>6.3983999999999996</v>
      </c>
    </row>
    <row r="8" spans="2:60" x14ac:dyDescent="0.4">
      <c r="B8" s="100">
        <v>-67</v>
      </c>
      <c r="C8" s="101">
        <f t="shared" ref="C8:J8" si="3">(C7+C9)/2</f>
        <v>3.32E-2</v>
      </c>
      <c r="D8" s="102">
        <f t="shared" si="3"/>
        <v>3.1449999999999999E-2</v>
      </c>
      <c r="E8" s="101">
        <f t="shared" si="3"/>
        <v>7.3134999999999997E-4</v>
      </c>
      <c r="F8" s="102">
        <f t="shared" si="3"/>
        <v>0.5490250000000001</v>
      </c>
      <c r="G8" s="103">
        <f t="shared" si="3"/>
        <v>114.31</v>
      </c>
      <c r="H8" s="104">
        <f t="shared" si="3"/>
        <v>327.52499999999998</v>
      </c>
      <c r="I8" s="103">
        <f t="shared" si="3"/>
        <v>0.6431</v>
      </c>
      <c r="J8" s="104">
        <f t="shared" si="3"/>
        <v>1.6804999999999999</v>
      </c>
      <c r="L8" s="100">
        <v>-67</v>
      </c>
      <c r="M8" s="103">
        <f t="shared" ref="M8:T8" si="4">(M7+M9)/2</f>
        <v>4.2999999999999997E-2</v>
      </c>
      <c r="N8" s="104">
        <f t="shared" si="4"/>
        <v>4.2499999999999996E-2</v>
      </c>
      <c r="O8" s="103">
        <f t="shared" si="4"/>
        <v>7.1636000000000009E-4</v>
      </c>
      <c r="P8" s="104">
        <f t="shared" si="4"/>
        <v>0.54037000000000002</v>
      </c>
      <c r="Q8" s="103">
        <f t="shared" si="4"/>
        <v>105.94</v>
      </c>
      <c r="R8" s="104">
        <f t="shared" si="4"/>
        <v>390.91</v>
      </c>
      <c r="S8" s="103">
        <f t="shared" si="4"/>
        <v>0.60870000000000002</v>
      </c>
      <c r="T8" s="104">
        <f t="shared" si="4"/>
        <v>1.9914499999999999</v>
      </c>
      <c r="V8" s="79">
        <v>-67</v>
      </c>
      <c r="W8" s="84">
        <v>3.2613999999999997E-2</v>
      </c>
      <c r="X8" s="93">
        <v>2.1752000000000001E-2</v>
      </c>
      <c r="Y8" s="92">
        <v>7.0856656982923544E-4</v>
      </c>
      <c r="Z8" s="83">
        <v>0.89992800575953924</v>
      </c>
      <c r="AA8" s="84">
        <v>110.6</v>
      </c>
      <c r="AB8" s="93">
        <v>362.62</v>
      </c>
      <c r="AC8" s="92">
        <v>0.62733000000000005</v>
      </c>
      <c r="AD8" s="93">
        <v>1.8723000000000001</v>
      </c>
      <c r="AF8" s="94">
        <v>-57</v>
      </c>
      <c r="AG8" s="84">
        <v>0.1087</v>
      </c>
      <c r="AH8" s="93">
        <v>5.8999999999999997E-2</v>
      </c>
      <c r="AI8" s="84">
        <v>7.3700000000000002E-4</v>
      </c>
      <c r="AJ8" s="93">
        <v>0.39660000000000001</v>
      </c>
      <c r="AK8" s="84">
        <v>118.9</v>
      </c>
      <c r="AL8" s="93">
        <v>388.2</v>
      </c>
      <c r="AM8" s="84">
        <v>0.67</v>
      </c>
      <c r="AN8" s="93">
        <v>1.944</v>
      </c>
      <c r="AP8" s="79">
        <v>-47</v>
      </c>
      <c r="AQ8" s="90">
        <v>0.76937</v>
      </c>
      <c r="AR8" s="105"/>
      <c r="AS8" s="92">
        <v>8.7460000000000001E-4</v>
      </c>
      <c r="AT8" s="83">
        <v>4.9674000000000003E-2</v>
      </c>
      <c r="AU8" s="84">
        <v>98.891000000000005</v>
      </c>
      <c r="AV8" s="93">
        <v>433.58</v>
      </c>
      <c r="AW8" s="92">
        <v>0.60550000000000004</v>
      </c>
      <c r="AX8" s="93">
        <v>2.0855000000000001</v>
      </c>
      <c r="AZ8" s="79">
        <v>-47</v>
      </c>
      <c r="BA8" s="106">
        <f>(BA7+BA9)/2</f>
        <v>4.87E-2</v>
      </c>
      <c r="BB8" s="108"/>
      <c r="BC8" s="106">
        <f t="shared" ref="BC8:BH8" si="5">(BC7+BC9)/2</f>
        <v>1.43155E-3</v>
      </c>
      <c r="BD8" s="113">
        <f t="shared" si="5"/>
        <v>2.2356499999999997</v>
      </c>
      <c r="BE8" s="109">
        <f t="shared" si="5"/>
        <v>-11.6</v>
      </c>
      <c r="BF8" s="110">
        <f t="shared" si="5"/>
        <v>1396.25</v>
      </c>
      <c r="BG8" s="109">
        <f t="shared" si="5"/>
        <v>0.15275</v>
      </c>
      <c r="BH8" s="110">
        <f t="shared" si="5"/>
        <v>6.3782999999999994</v>
      </c>
    </row>
    <row r="9" spans="2:60" x14ac:dyDescent="0.4">
      <c r="B9" s="79">
        <v>-66</v>
      </c>
      <c r="C9" s="84">
        <v>3.5200000000000002E-2</v>
      </c>
      <c r="D9" s="93">
        <v>3.3399999999999999E-2</v>
      </c>
      <c r="E9" s="92">
        <v>7.3289999999999998E-4</v>
      </c>
      <c r="F9" s="83">
        <v>0.51768000000000003</v>
      </c>
      <c r="G9" s="84">
        <v>115.51</v>
      </c>
      <c r="H9" s="93">
        <v>328.14</v>
      </c>
      <c r="I9" s="92">
        <v>0.64890000000000003</v>
      </c>
      <c r="J9" s="93">
        <v>1.6779999999999999</v>
      </c>
      <c r="L9" s="79">
        <v>-66</v>
      </c>
      <c r="M9" s="84">
        <v>4.5999999999999999E-2</v>
      </c>
      <c r="N9" s="93">
        <v>4.4999999999999998E-2</v>
      </c>
      <c r="O9" s="111">
        <v>7.1785000000000002E-4</v>
      </c>
      <c r="P9" s="83">
        <v>0.50995999999999997</v>
      </c>
      <c r="Q9" s="84">
        <v>107.25</v>
      </c>
      <c r="R9" s="93">
        <v>391.47</v>
      </c>
      <c r="S9" s="92">
        <v>0.61499999999999999</v>
      </c>
      <c r="T9" s="93">
        <v>1.9874000000000001</v>
      </c>
      <c r="V9" s="94">
        <v>-66</v>
      </c>
      <c r="W9" s="84">
        <v>3.4644000000000001E-2</v>
      </c>
      <c r="X9" s="93">
        <v>2.3227999999999999E-2</v>
      </c>
      <c r="Y9" s="92">
        <v>7.1002556092019308E-4</v>
      </c>
      <c r="Z9" s="83">
        <v>0.84631008801624918</v>
      </c>
      <c r="AA9" s="84">
        <v>111.88</v>
      </c>
      <c r="AB9" s="93">
        <v>363.23</v>
      </c>
      <c r="AC9" s="92">
        <v>0.63349999999999995</v>
      </c>
      <c r="AD9" s="93">
        <v>1.869</v>
      </c>
      <c r="AF9" s="94">
        <v>-56</v>
      </c>
      <c r="AG9" s="84">
        <v>0.11409999999999999</v>
      </c>
      <c r="AH9" s="93">
        <v>6.2399999999999997E-2</v>
      </c>
      <c r="AI9" s="84">
        <v>7.3899999999999997E-4</v>
      </c>
      <c r="AJ9" s="93">
        <v>0.37609999999999999</v>
      </c>
      <c r="AK9" s="84">
        <v>120.3</v>
      </c>
      <c r="AL9" s="93">
        <v>388.8</v>
      </c>
      <c r="AM9" s="84">
        <v>0.67700000000000005</v>
      </c>
      <c r="AN9" s="93">
        <v>1.94</v>
      </c>
      <c r="AP9" s="94">
        <v>-46</v>
      </c>
      <c r="AQ9" s="90">
        <v>0.80015000000000003</v>
      </c>
      <c r="AR9" s="105"/>
      <c r="AS9" s="92">
        <v>8.7750000000000002E-4</v>
      </c>
      <c r="AT9" s="83">
        <v>4.7819E-2</v>
      </c>
      <c r="AU9" s="84">
        <v>100.88</v>
      </c>
      <c r="AV9" s="93">
        <v>433.86</v>
      </c>
      <c r="AW9" s="92">
        <v>0.61419999999999997</v>
      </c>
      <c r="AX9" s="93">
        <v>2.0800999999999998</v>
      </c>
      <c r="AZ9" s="94">
        <v>-46</v>
      </c>
      <c r="BA9" s="90">
        <v>5.1490000000000001E-2</v>
      </c>
      <c r="BB9" s="105"/>
      <c r="BC9" s="84">
        <v>1.4339999999999999E-3</v>
      </c>
      <c r="BD9" s="112">
        <v>2.1158999999999999</v>
      </c>
      <c r="BE9" s="84">
        <v>-7.2</v>
      </c>
      <c r="BF9" s="93">
        <v>1397.9</v>
      </c>
      <c r="BG9" s="92">
        <v>0.1721</v>
      </c>
      <c r="BH9" s="93">
        <v>6.3582000000000001</v>
      </c>
    </row>
    <row r="10" spans="2:60" x14ac:dyDescent="0.4">
      <c r="B10" s="114">
        <v>-65</v>
      </c>
      <c r="C10" s="101">
        <f t="shared" ref="C10:J10" si="6">(C9+C11)/2</f>
        <v>3.7350000000000001E-2</v>
      </c>
      <c r="D10" s="102">
        <f t="shared" si="6"/>
        <v>3.5500000000000004E-2</v>
      </c>
      <c r="E10" s="101">
        <f t="shared" si="6"/>
        <v>7.3444999999999999E-4</v>
      </c>
      <c r="F10" s="102">
        <f t="shared" si="6"/>
        <v>0.49032500000000001</v>
      </c>
      <c r="G10" s="103">
        <f t="shared" si="6"/>
        <v>116.71000000000001</v>
      </c>
      <c r="H10" s="104">
        <f t="shared" si="6"/>
        <v>328.75</v>
      </c>
      <c r="I10" s="103">
        <f t="shared" si="6"/>
        <v>0.65470000000000006</v>
      </c>
      <c r="J10" s="104">
        <f t="shared" si="6"/>
        <v>1.6759999999999999</v>
      </c>
      <c r="L10" s="100">
        <v>-65</v>
      </c>
      <c r="M10" s="103">
        <f t="shared" ref="M10:T10" si="7">(M9+M11)/2</f>
        <v>4.8500000000000001E-2</v>
      </c>
      <c r="N10" s="104">
        <f t="shared" si="7"/>
        <v>4.8000000000000001E-2</v>
      </c>
      <c r="O10" s="103">
        <f t="shared" si="7"/>
        <v>7.1936500000000002E-4</v>
      </c>
      <c r="P10" s="104">
        <f t="shared" si="7"/>
        <v>0.48334999999999995</v>
      </c>
      <c r="Q10" s="103">
        <f t="shared" si="7"/>
        <v>108.565</v>
      </c>
      <c r="R10" s="104">
        <f t="shared" si="7"/>
        <v>392.03</v>
      </c>
      <c r="S10" s="103">
        <f t="shared" si="7"/>
        <v>0.62129999999999996</v>
      </c>
      <c r="T10" s="104">
        <f t="shared" si="7"/>
        <v>1.9835500000000001</v>
      </c>
      <c r="V10" s="79">
        <v>-65</v>
      </c>
      <c r="W10" s="84">
        <v>3.6775000000000002E-2</v>
      </c>
      <c r="X10" s="93">
        <v>2.4785000000000001E-2</v>
      </c>
      <c r="Y10" s="92">
        <v>7.1143995446784299E-4</v>
      </c>
      <c r="Z10" s="83">
        <v>0.79636855936927609</v>
      </c>
      <c r="AA10" s="84">
        <v>113.16</v>
      </c>
      <c r="AB10" s="93">
        <v>363.84</v>
      </c>
      <c r="AC10" s="92">
        <v>0.63963999999999999</v>
      </c>
      <c r="AD10" s="93">
        <v>1.8657999999999999</v>
      </c>
      <c r="AF10" s="94">
        <v>-55</v>
      </c>
      <c r="AG10" s="115">
        <v>0.12</v>
      </c>
      <c r="AH10" s="93">
        <v>6.6000000000000003E-2</v>
      </c>
      <c r="AI10" s="84">
        <v>7.4100000000000001E-4</v>
      </c>
      <c r="AJ10" s="93">
        <v>0.3569</v>
      </c>
      <c r="AK10" s="84">
        <v>121.6</v>
      </c>
      <c r="AL10" s="93">
        <v>389.3</v>
      </c>
      <c r="AM10" s="84">
        <v>0.68300000000000005</v>
      </c>
      <c r="AN10" s="93">
        <v>1.9370000000000001</v>
      </c>
      <c r="AP10" s="79">
        <v>-45</v>
      </c>
      <c r="AQ10" s="90">
        <v>0.83184000000000002</v>
      </c>
      <c r="AR10" s="105"/>
      <c r="AS10" s="92">
        <v>8.8049999999999999E-4</v>
      </c>
      <c r="AT10" s="83">
        <v>4.6045999999999997E-2</v>
      </c>
      <c r="AU10" s="84">
        <v>102.87</v>
      </c>
      <c r="AV10" s="93">
        <v>434.13</v>
      </c>
      <c r="AW10" s="92">
        <v>0.62280000000000002</v>
      </c>
      <c r="AX10" s="93">
        <v>2.0747</v>
      </c>
      <c r="AZ10" s="79">
        <v>-45</v>
      </c>
      <c r="BA10" s="106">
        <f>(BA9+BA11)/2</f>
        <v>5.4559999999999997E-2</v>
      </c>
      <c r="BB10" s="108"/>
      <c r="BC10" s="106">
        <f t="shared" ref="BC10:BH10" si="8">(BC9+BC11)/2</f>
        <v>1.4364499999999999E-3</v>
      </c>
      <c r="BD10" s="113">
        <f t="shared" si="8"/>
        <v>2.0103499999999999</v>
      </c>
      <c r="BE10" s="109">
        <f t="shared" si="8"/>
        <v>-2.85</v>
      </c>
      <c r="BF10" s="110">
        <f t="shared" si="8"/>
        <v>1399.5500000000002</v>
      </c>
      <c r="BG10" s="109">
        <f t="shared" si="8"/>
        <v>0.19135000000000002</v>
      </c>
      <c r="BH10" s="110">
        <f t="shared" si="8"/>
        <v>6.3384999999999998</v>
      </c>
    </row>
    <row r="11" spans="2:60" x14ac:dyDescent="0.4">
      <c r="B11" s="79">
        <v>-64</v>
      </c>
      <c r="C11" s="84">
        <v>3.95E-2</v>
      </c>
      <c r="D11" s="93">
        <v>3.7600000000000001E-2</v>
      </c>
      <c r="E11" s="92">
        <v>7.36E-4</v>
      </c>
      <c r="F11" s="83">
        <v>0.46296999999999999</v>
      </c>
      <c r="G11" s="84">
        <v>117.91</v>
      </c>
      <c r="H11" s="93">
        <v>329.36</v>
      </c>
      <c r="I11" s="92">
        <v>0.66049999999999998</v>
      </c>
      <c r="J11" s="93">
        <v>1.6739999999999999</v>
      </c>
      <c r="L11" s="79">
        <v>-64</v>
      </c>
      <c r="M11" s="84">
        <v>5.0999999999999997E-2</v>
      </c>
      <c r="N11" s="93">
        <v>5.0999999999999997E-2</v>
      </c>
      <c r="O11" s="111">
        <v>7.2088000000000002E-4</v>
      </c>
      <c r="P11" s="83">
        <v>0.45673999999999998</v>
      </c>
      <c r="Q11" s="84">
        <v>109.88</v>
      </c>
      <c r="R11" s="93">
        <v>392.59</v>
      </c>
      <c r="S11" s="92">
        <v>0.62760000000000005</v>
      </c>
      <c r="T11" s="93">
        <v>1.9797</v>
      </c>
      <c r="V11" s="94">
        <v>-64</v>
      </c>
      <c r="W11" s="84">
        <v>3.9011999999999998E-2</v>
      </c>
      <c r="X11" s="93">
        <v>2.6426000000000002E-2</v>
      </c>
      <c r="Y11" s="92">
        <v>7.1291081485706136E-4</v>
      </c>
      <c r="Z11" s="83">
        <v>0.74996250187490632</v>
      </c>
      <c r="AA11" s="84">
        <v>114.44</v>
      </c>
      <c r="AB11" s="93">
        <v>364.46</v>
      </c>
      <c r="AC11" s="92">
        <v>0.64576</v>
      </c>
      <c r="AD11" s="93">
        <v>1.8627</v>
      </c>
      <c r="AF11" s="94">
        <v>-54</v>
      </c>
      <c r="AG11" s="84">
        <v>0.1255</v>
      </c>
      <c r="AH11" s="93">
        <v>6.9800000000000001E-2</v>
      </c>
      <c r="AI11" s="84">
        <v>7.4200000000000004E-4</v>
      </c>
      <c r="AJ11" s="93">
        <v>0.33889999999999998</v>
      </c>
      <c r="AK11" s="84">
        <v>123</v>
      </c>
      <c r="AL11" s="93">
        <v>389.9</v>
      </c>
      <c r="AM11" s="84">
        <v>0.68899999999999995</v>
      </c>
      <c r="AN11" s="93">
        <v>1.9339999999999999</v>
      </c>
      <c r="AP11" s="94">
        <v>-44</v>
      </c>
      <c r="AQ11" s="90">
        <v>0.86445000000000005</v>
      </c>
      <c r="AR11" s="105"/>
      <c r="AS11" s="92">
        <v>8.8340000000000001E-4</v>
      </c>
      <c r="AT11" s="83">
        <v>4.4352000000000003E-2</v>
      </c>
      <c r="AU11" s="84">
        <v>104.87</v>
      </c>
      <c r="AV11" s="93">
        <v>434.39</v>
      </c>
      <c r="AW11" s="92">
        <v>0.63139999999999996</v>
      </c>
      <c r="AX11" s="93">
        <v>2.0693999999999999</v>
      </c>
      <c r="AZ11" s="94">
        <v>-44</v>
      </c>
      <c r="BA11" s="90">
        <v>5.7630000000000001E-2</v>
      </c>
      <c r="BB11" s="105"/>
      <c r="BC11" s="84">
        <v>1.4388999999999999E-3</v>
      </c>
      <c r="BD11" s="112">
        <v>1.9048</v>
      </c>
      <c r="BE11" s="84">
        <v>1.5</v>
      </c>
      <c r="BF11" s="93">
        <v>1401.2</v>
      </c>
      <c r="BG11" s="92">
        <v>0.21060000000000001</v>
      </c>
      <c r="BH11" s="93">
        <v>6.3188000000000004</v>
      </c>
    </row>
    <row r="12" spans="2:60" x14ac:dyDescent="0.4">
      <c r="B12" s="100">
        <v>-63</v>
      </c>
      <c r="C12" s="101">
        <f t="shared" ref="C12:J12" si="9">(C11+C13)/2</f>
        <v>4.19E-2</v>
      </c>
      <c r="D12" s="102">
        <f t="shared" si="9"/>
        <v>3.9900000000000005E-2</v>
      </c>
      <c r="E12" s="101">
        <f t="shared" si="9"/>
        <v>7.3759999999999993E-4</v>
      </c>
      <c r="F12" s="102">
        <f t="shared" si="9"/>
        <v>0.43901999999999997</v>
      </c>
      <c r="G12" s="103">
        <f t="shared" si="9"/>
        <v>119.12</v>
      </c>
      <c r="H12" s="104">
        <f t="shared" si="9"/>
        <v>329.97</v>
      </c>
      <c r="I12" s="103">
        <f t="shared" si="9"/>
        <v>0.66620000000000001</v>
      </c>
      <c r="J12" s="104">
        <f t="shared" si="9"/>
        <v>1.6724999999999999</v>
      </c>
      <c r="L12" s="100">
        <v>-63</v>
      </c>
      <c r="M12" s="103">
        <f t="shared" ref="M12:T12" si="10">(M11+M13)/2</f>
        <v>5.45E-2</v>
      </c>
      <c r="N12" s="104">
        <f t="shared" si="10"/>
        <v>5.3999999999999999E-2</v>
      </c>
      <c r="O12" s="103">
        <f t="shared" si="10"/>
        <v>7.2241500000000001E-4</v>
      </c>
      <c r="P12" s="104">
        <f t="shared" si="10"/>
        <v>0.43339499999999997</v>
      </c>
      <c r="Q12" s="103">
        <f t="shared" si="10"/>
        <v>111.19999999999999</v>
      </c>
      <c r="R12" s="104">
        <f t="shared" si="10"/>
        <v>393.14</v>
      </c>
      <c r="S12" s="103">
        <f t="shared" si="10"/>
        <v>0.63390000000000002</v>
      </c>
      <c r="T12" s="104">
        <f t="shared" si="10"/>
        <v>1.9759</v>
      </c>
      <c r="V12" s="79">
        <v>-63</v>
      </c>
      <c r="W12" s="84">
        <v>4.1356999999999998E-2</v>
      </c>
      <c r="X12" s="93">
        <v>2.8154999999999999E-2</v>
      </c>
      <c r="Y12" s="92">
        <v>7.1438776968138311E-4</v>
      </c>
      <c r="Z12" s="83">
        <v>0.70671378091872794</v>
      </c>
      <c r="AA12" s="84">
        <v>115.72</v>
      </c>
      <c r="AB12" s="93">
        <v>365.07</v>
      </c>
      <c r="AC12" s="92">
        <v>0.65185000000000004</v>
      </c>
      <c r="AD12" s="93">
        <v>1.8595999999999999</v>
      </c>
      <c r="AF12" s="94">
        <v>-53</v>
      </c>
      <c r="AG12" s="84">
        <v>0.13159999999999999</v>
      </c>
      <c r="AH12" s="93">
        <v>7.3700000000000002E-2</v>
      </c>
      <c r="AI12" s="84">
        <v>7.4399999999999998E-4</v>
      </c>
      <c r="AJ12" s="93">
        <v>0.32190000000000002</v>
      </c>
      <c r="AK12" s="84">
        <v>124.4</v>
      </c>
      <c r="AL12" s="93">
        <v>390.5</v>
      </c>
      <c r="AM12" s="84">
        <v>0.69499999999999995</v>
      </c>
      <c r="AN12" s="93">
        <v>1.93</v>
      </c>
      <c r="AP12" s="79">
        <v>-43</v>
      </c>
      <c r="AQ12" s="90">
        <v>0.89800000000000002</v>
      </c>
      <c r="AR12" s="105"/>
      <c r="AS12" s="92">
        <v>8.8639999999999997E-4</v>
      </c>
      <c r="AT12" s="83">
        <v>4.2733E-2</v>
      </c>
      <c r="AU12" s="84">
        <v>106.87</v>
      </c>
      <c r="AV12" s="93">
        <v>434.64</v>
      </c>
      <c r="AW12" s="92">
        <v>0.64</v>
      </c>
      <c r="AX12" s="93">
        <v>2.0642</v>
      </c>
      <c r="AZ12" s="79">
        <v>-43</v>
      </c>
      <c r="BA12" s="106">
        <f>(BA11+BA13)/2</f>
        <v>6.0984999999999998E-2</v>
      </c>
      <c r="BB12" s="108"/>
      <c r="BC12" s="106">
        <f t="shared" ref="BC12:BH12" si="11">(BC11+BC13)/2</f>
        <v>1.4413999999999998E-3</v>
      </c>
      <c r="BD12" s="113">
        <f t="shared" si="11"/>
        <v>1.8115999999999999</v>
      </c>
      <c r="BE12" s="109">
        <f t="shared" si="11"/>
        <v>5.9</v>
      </c>
      <c r="BF12" s="110">
        <f t="shared" si="11"/>
        <v>1402.85</v>
      </c>
      <c r="BG12" s="109">
        <f t="shared" si="11"/>
        <v>0.22970000000000002</v>
      </c>
      <c r="BH12" s="110">
        <f t="shared" si="11"/>
        <v>6.29955</v>
      </c>
    </row>
    <row r="13" spans="2:60" x14ac:dyDescent="0.4">
      <c r="B13" s="94">
        <v>-62</v>
      </c>
      <c r="C13" s="84">
        <v>4.4299999999999999E-2</v>
      </c>
      <c r="D13" s="93">
        <v>4.2200000000000001E-2</v>
      </c>
      <c r="E13" s="92">
        <v>7.3919999999999997E-4</v>
      </c>
      <c r="F13" s="83">
        <v>0.41506999999999999</v>
      </c>
      <c r="G13" s="84">
        <v>120.33</v>
      </c>
      <c r="H13" s="93">
        <v>330.58</v>
      </c>
      <c r="I13" s="92">
        <v>0.67190000000000005</v>
      </c>
      <c r="J13" s="93">
        <v>1.671</v>
      </c>
      <c r="L13" s="79">
        <v>-62</v>
      </c>
      <c r="M13" s="84">
        <v>5.8000000000000003E-2</v>
      </c>
      <c r="N13" s="93">
        <v>5.7000000000000002E-2</v>
      </c>
      <c r="O13" s="111">
        <v>7.2395000000000001E-4</v>
      </c>
      <c r="P13" s="83">
        <v>0.41005000000000003</v>
      </c>
      <c r="Q13" s="84">
        <v>112.52</v>
      </c>
      <c r="R13" s="93">
        <v>393.69</v>
      </c>
      <c r="S13" s="92">
        <v>0.64019999999999999</v>
      </c>
      <c r="T13" s="93">
        <v>1.9721</v>
      </c>
      <c r="V13" s="94">
        <v>-62</v>
      </c>
      <c r="W13" s="84">
        <v>4.3815E-2</v>
      </c>
      <c r="X13" s="93">
        <v>2.9975000000000002E-2</v>
      </c>
      <c r="Y13" s="92">
        <v>7.1587085689741562E-4</v>
      </c>
      <c r="Z13" s="83">
        <v>0.66644451849383546</v>
      </c>
      <c r="AA13" s="84">
        <v>117</v>
      </c>
      <c r="AB13" s="93">
        <v>365.68</v>
      </c>
      <c r="AC13" s="92">
        <v>0.65791999999999995</v>
      </c>
      <c r="AD13" s="93" t="s">
        <v>117</v>
      </c>
      <c r="AF13" s="94">
        <v>-52</v>
      </c>
      <c r="AG13" s="84">
        <v>0.13780000000000001</v>
      </c>
      <c r="AH13" s="93">
        <v>7.7799999999999994E-2</v>
      </c>
      <c r="AI13" s="84">
        <v>7.4600000000000003E-4</v>
      </c>
      <c r="AJ13" s="93">
        <v>0.30599999999999999</v>
      </c>
      <c r="AK13" s="84">
        <v>125.7</v>
      </c>
      <c r="AL13" s="93">
        <v>391.1</v>
      </c>
      <c r="AM13" s="84">
        <v>0.70099999999999996</v>
      </c>
      <c r="AN13" s="93">
        <v>1.927</v>
      </c>
      <c r="AP13" s="94">
        <v>-42</v>
      </c>
      <c r="AQ13" s="90">
        <v>0.93252000000000002</v>
      </c>
      <c r="AR13" s="105"/>
      <c r="AS13" s="92">
        <v>8.8949999999999999E-4</v>
      </c>
      <c r="AT13" s="83">
        <v>4.1183999999999998E-2</v>
      </c>
      <c r="AU13" s="84">
        <v>108.88</v>
      </c>
      <c r="AV13" s="93">
        <v>434.88</v>
      </c>
      <c r="AW13" s="92">
        <v>0.64859999999999995</v>
      </c>
      <c r="AX13" s="93">
        <v>2.0589</v>
      </c>
      <c r="AZ13" s="94">
        <v>-42</v>
      </c>
      <c r="BA13" s="90">
        <v>6.4339999999999994E-2</v>
      </c>
      <c r="BB13" s="105"/>
      <c r="BC13" s="84">
        <v>1.4438999999999999E-3</v>
      </c>
      <c r="BD13" s="112">
        <v>1.7183999999999999</v>
      </c>
      <c r="BE13" s="84">
        <v>10.3</v>
      </c>
      <c r="BF13" s="93">
        <v>1404.5</v>
      </c>
      <c r="BG13" s="92">
        <v>0.24879999999999999</v>
      </c>
      <c r="BH13" s="93">
        <v>6.2803000000000004</v>
      </c>
    </row>
    <row r="14" spans="2:60" x14ac:dyDescent="0.4">
      <c r="B14" s="100">
        <v>-61</v>
      </c>
      <c r="C14" s="101">
        <f t="shared" ref="C14:J14" si="12">(C13+C15)/2</f>
        <v>4.6949999999999999E-2</v>
      </c>
      <c r="D14" s="102">
        <f t="shared" si="12"/>
        <v>4.4749999999999998E-2</v>
      </c>
      <c r="E14" s="101">
        <f t="shared" si="12"/>
        <v>7.4080000000000001E-4</v>
      </c>
      <c r="F14" s="102">
        <f t="shared" si="12"/>
        <v>0.39405000000000001</v>
      </c>
      <c r="G14" s="103">
        <f t="shared" si="12"/>
        <v>121.535</v>
      </c>
      <c r="H14" s="104">
        <f t="shared" si="12"/>
        <v>331.19499999999999</v>
      </c>
      <c r="I14" s="103">
        <f t="shared" si="12"/>
        <v>0.67759999999999998</v>
      </c>
      <c r="J14" s="104">
        <f t="shared" si="12"/>
        <v>1.669</v>
      </c>
      <c r="L14" s="100">
        <v>-61</v>
      </c>
      <c r="M14" s="103">
        <f t="shared" ref="M14:T14" si="13">(M13+M15)/2</f>
        <v>6.0999999999999999E-2</v>
      </c>
      <c r="N14" s="104">
        <f t="shared" si="13"/>
        <v>6.0499999999999998E-2</v>
      </c>
      <c r="O14" s="103">
        <f t="shared" si="13"/>
        <v>7.2550999999999996E-4</v>
      </c>
      <c r="P14" s="104">
        <f t="shared" si="13"/>
        <v>0.38951000000000002</v>
      </c>
      <c r="Q14" s="103">
        <f t="shared" si="13"/>
        <v>113.84</v>
      </c>
      <c r="R14" s="104">
        <f t="shared" si="13"/>
        <v>394.24</v>
      </c>
      <c r="S14" s="103">
        <f t="shared" si="13"/>
        <v>0.64639999999999997</v>
      </c>
      <c r="T14" s="104">
        <f t="shared" si="13"/>
        <v>1.96845</v>
      </c>
      <c r="V14" s="79">
        <v>-61</v>
      </c>
      <c r="W14" s="84">
        <v>4.6390000000000001E-2</v>
      </c>
      <c r="X14" s="93">
        <v>3.1890000000000002E-2</v>
      </c>
      <c r="Y14" s="92">
        <v>7.173601147776184E-4</v>
      </c>
      <c r="Z14" s="83">
        <v>0.6288912647003333</v>
      </c>
      <c r="AA14" s="84">
        <v>118.28</v>
      </c>
      <c r="AB14" s="93">
        <v>366.3</v>
      </c>
      <c r="AC14" s="92">
        <v>0.66396999999999995</v>
      </c>
      <c r="AD14" s="93">
        <v>1.8535999999999999</v>
      </c>
      <c r="AF14" s="94">
        <v>-51</v>
      </c>
      <c r="AG14" s="84">
        <v>0.14430000000000001</v>
      </c>
      <c r="AH14" s="93">
        <v>8.2100000000000006E-2</v>
      </c>
      <c r="AI14" s="84">
        <v>7.4700000000000005E-4</v>
      </c>
      <c r="AJ14" s="93">
        <v>0.29099999999999998</v>
      </c>
      <c r="AK14" s="84">
        <v>127.1</v>
      </c>
      <c r="AL14" s="93">
        <v>391.6</v>
      </c>
      <c r="AM14" s="84">
        <v>0.70799999999999996</v>
      </c>
      <c r="AN14" s="93">
        <v>1.9239999999999999</v>
      </c>
      <c r="AP14" s="79">
        <v>-41</v>
      </c>
      <c r="AQ14" s="90">
        <v>0.96801000000000004</v>
      </c>
      <c r="AR14" s="105"/>
      <c r="AS14" s="92">
        <v>8.9260000000000001E-4</v>
      </c>
      <c r="AT14" s="83">
        <v>3.9702000000000001E-2</v>
      </c>
      <c r="AU14" s="84">
        <v>110.89</v>
      </c>
      <c r="AV14" s="93">
        <v>435.11</v>
      </c>
      <c r="AW14" s="92">
        <v>0.64710000000000001</v>
      </c>
      <c r="AX14" s="93">
        <v>2.0537000000000001</v>
      </c>
      <c r="AZ14" s="79">
        <v>-41</v>
      </c>
      <c r="BA14" s="106">
        <f>(BA13+BA15)/2</f>
        <v>6.8014999999999992E-2</v>
      </c>
      <c r="BB14" s="108"/>
      <c r="BC14" s="106">
        <f t="shared" ref="BC14:BH14" si="14">(BC13+BC15)/2</f>
        <v>1.4464499999999999E-3</v>
      </c>
      <c r="BD14" s="113">
        <f t="shared" si="14"/>
        <v>1.63585</v>
      </c>
      <c r="BE14" s="109">
        <f t="shared" si="14"/>
        <v>14.75</v>
      </c>
      <c r="BF14" s="110">
        <f t="shared" si="14"/>
        <v>1406.15</v>
      </c>
      <c r="BG14" s="109">
        <f t="shared" si="14"/>
        <v>0.26774999999999999</v>
      </c>
      <c r="BH14" s="110">
        <f t="shared" si="14"/>
        <v>6.2614000000000001</v>
      </c>
    </row>
    <row r="15" spans="2:60" x14ac:dyDescent="0.4">
      <c r="B15" s="79">
        <v>-60</v>
      </c>
      <c r="C15" s="84">
        <v>4.9599999999999998E-2</v>
      </c>
      <c r="D15" s="93">
        <v>4.7300000000000002E-2</v>
      </c>
      <c r="E15" s="92">
        <v>7.4240000000000005E-4</v>
      </c>
      <c r="F15" s="83">
        <v>0.37302999999999997</v>
      </c>
      <c r="G15" s="84">
        <v>122.74</v>
      </c>
      <c r="H15" s="93">
        <v>331.81</v>
      </c>
      <c r="I15" s="92">
        <v>0.68330000000000002</v>
      </c>
      <c r="J15" s="93">
        <v>1.667</v>
      </c>
      <c r="L15" s="79">
        <v>-60</v>
      </c>
      <c r="M15" s="84">
        <v>6.4000000000000001E-2</v>
      </c>
      <c r="N15" s="93">
        <v>6.4000000000000001E-2</v>
      </c>
      <c r="O15" s="111">
        <v>7.2707000000000002E-4</v>
      </c>
      <c r="P15" s="83">
        <v>0.36897000000000002</v>
      </c>
      <c r="Q15" s="84">
        <v>115.16</v>
      </c>
      <c r="R15" s="93">
        <v>394.79</v>
      </c>
      <c r="S15" s="92">
        <v>0.65259999999999996</v>
      </c>
      <c r="T15" s="93">
        <v>1.9648000000000001</v>
      </c>
      <c r="V15" s="94">
        <v>-60</v>
      </c>
      <c r="W15" s="84">
        <v>4.9084999999999997E-2</v>
      </c>
      <c r="X15" s="93">
        <v>3.3902000000000002E-2</v>
      </c>
      <c r="Y15" s="92">
        <v>7.1885558191359361E-4</v>
      </c>
      <c r="Z15" s="83">
        <v>0.59385949284399309</v>
      </c>
      <c r="AA15" s="84">
        <v>119.56</v>
      </c>
      <c r="AB15" s="93">
        <v>366.91</v>
      </c>
      <c r="AC15" s="92">
        <v>0.66998999999999997</v>
      </c>
      <c r="AD15" s="93">
        <v>1.8507</v>
      </c>
      <c r="AF15" s="94">
        <v>-50</v>
      </c>
      <c r="AG15" s="84">
        <v>0.151</v>
      </c>
      <c r="AH15" s="93">
        <v>8.6499999999999994E-2</v>
      </c>
      <c r="AI15" s="84">
        <v>7.4899999999999999E-4</v>
      </c>
      <c r="AJ15" s="93">
        <v>0.27689999999999998</v>
      </c>
      <c r="AK15" s="84">
        <v>128.5</v>
      </c>
      <c r="AL15" s="93">
        <v>392.2</v>
      </c>
      <c r="AM15" s="84">
        <v>0.71399999999999997</v>
      </c>
      <c r="AN15" s="93">
        <v>1.921</v>
      </c>
      <c r="AP15" s="94">
        <v>-40</v>
      </c>
      <c r="AQ15" s="90">
        <v>1.0044999999999999</v>
      </c>
      <c r="AR15" s="105"/>
      <c r="AS15" s="92">
        <v>8.9570000000000003E-4</v>
      </c>
      <c r="AT15" s="83">
        <v>3.8283999999999999E-2</v>
      </c>
      <c r="AU15" s="84">
        <v>112.9</v>
      </c>
      <c r="AV15" s="93">
        <v>435.32</v>
      </c>
      <c r="AW15" s="92">
        <v>0.66559999999999997</v>
      </c>
      <c r="AX15" s="93">
        <v>2.0485000000000002</v>
      </c>
      <c r="AZ15" s="94">
        <v>-40</v>
      </c>
      <c r="BA15" s="90">
        <v>7.1690000000000004E-2</v>
      </c>
      <c r="BB15" s="105"/>
      <c r="BC15" s="84">
        <v>1.449E-3</v>
      </c>
      <c r="BD15" s="112">
        <v>1.5532999999999999</v>
      </c>
      <c r="BE15" s="84">
        <v>19.2</v>
      </c>
      <c r="BF15" s="93">
        <v>1407.8</v>
      </c>
      <c r="BG15" s="92">
        <v>0.28670000000000001</v>
      </c>
      <c r="BH15" s="93">
        <v>6.2424999999999997</v>
      </c>
    </row>
    <row r="16" spans="2:60" x14ac:dyDescent="0.4">
      <c r="B16" s="114">
        <v>-59</v>
      </c>
      <c r="C16" s="101">
        <f t="shared" ref="C16:J16" si="15">(C15+C17)/2</f>
        <v>5.2499999999999998E-2</v>
      </c>
      <c r="D16" s="102">
        <f t="shared" si="15"/>
        <v>5.0100000000000006E-2</v>
      </c>
      <c r="E16" s="101">
        <f t="shared" si="15"/>
        <v>7.4400000000000009E-4</v>
      </c>
      <c r="F16" s="102">
        <f t="shared" si="15"/>
        <v>0.35453000000000001</v>
      </c>
      <c r="G16" s="103">
        <f t="shared" si="15"/>
        <v>123.955</v>
      </c>
      <c r="H16" s="104">
        <f t="shared" si="15"/>
        <v>332.41999999999996</v>
      </c>
      <c r="I16" s="103">
        <f t="shared" si="15"/>
        <v>0.68894999999999995</v>
      </c>
      <c r="J16" s="104">
        <f t="shared" si="15"/>
        <v>1.665</v>
      </c>
      <c r="L16" s="100">
        <v>-59</v>
      </c>
      <c r="M16" s="103">
        <f t="shared" ref="M16:T16" si="16">(M15+M17)/2</f>
        <v>6.8000000000000005E-2</v>
      </c>
      <c r="N16" s="104">
        <f t="shared" si="16"/>
        <v>6.7500000000000004E-2</v>
      </c>
      <c r="O16" s="103">
        <f t="shared" si="16"/>
        <v>7.2865499999999993E-4</v>
      </c>
      <c r="P16" s="104">
        <f t="shared" si="16"/>
        <v>0.35086000000000001</v>
      </c>
      <c r="Q16" s="103">
        <f t="shared" si="16"/>
        <v>116.49</v>
      </c>
      <c r="R16" s="104">
        <f t="shared" si="16"/>
        <v>395.33000000000004</v>
      </c>
      <c r="S16" s="103">
        <f t="shared" si="16"/>
        <v>0.65880000000000005</v>
      </c>
      <c r="T16" s="104">
        <f t="shared" si="16"/>
        <v>1.9612000000000001</v>
      </c>
      <c r="V16" s="79">
        <v>-59</v>
      </c>
      <c r="W16" s="84">
        <v>5.1905E-2</v>
      </c>
      <c r="X16" s="93">
        <v>3.6017E-2</v>
      </c>
      <c r="Y16" s="92">
        <v>7.2035729721942076E-4</v>
      </c>
      <c r="Z16" s="83">
        <v>0.56113573873520006</v>
      </c>
      <c r="AA16" s="84">
        <v>120.84</v>
      </c>
      <c r="AB16" s="93">
        <v>367.52</v>
      </c>
      <c r="AC16" s="92">
        <v>0.67598000000000003</v>
      </c>
      <c r="AD16" s="93">
        <v>1.8478000000000001</v>
      </c>
      <c r="AF16" s="94">
        <v>-49</v>
      </c>
      <c r="AG16" s="84">
        <v>0.158</v>
      </c>
      <c r="AH16" s="93">
        <v>9.1200000000000003E-2</v>
      </c>
      <c r="AI16" s="84">
        <v>7.5100000000000004E-4</v>
      </c>
      <c r="AJ16" s="93">
        <v>0.2636</v>
      </c>
      <c r="AK16" s="84">
        <v>129.80000000000001</v>
      </c>
      <c r="AL16" s="93">
        <v>392.8</v>
      </c>
      <c r="AM16" s="84">
        <v>0.72</v>
      </c>
      <c r="AN16" s="93">
        <v>1.9179999999999999</v>
      </c>
      <c r="AP16" s="79">
        <v>-39</v>
      </c>
      <c r="AQ16" s="90">
        <v>1.042</v>
      </c>
      <c r="AR16" s="105"/>
      <c r="AS16" s="92">
        <v>8.989E-4</v>
      </c>
      <c r="AT16" s="83">
        <v>3.6924999999999999E-2</v>
      </c>
      <c r="AU16" s="84">
        <v>114.92</v>
      </c>
      <c r="AV16" s="93">
        <v>435.53</v>
      </c>
      <c r="AW16" s="92">
        <v>0.67410000000000003</v>
      </c>
      <c r="AX16" s="93">
        <v>2.0434000000000001</v>
      </c>
      <c r="AZ16" s="79">
        <v>-39</v>
      </c>
      <c r="BA16" s="106">
        <f>(BA15+BA17)/2</f>
        <v>7.5700000000000003E-2</v>
      </c>
      <c r="BB16" s="108"/>
      <c r="BC16" s="106">
        <f t="shared" ref="BC16:BH16" si="17">(BC15+BC17)/2</f>
        <v>1.45155E-3</v>
      </c>
      <c r="BD16" s="113">
        <f t="shared" si="17"/>
        <v>1.4800499999999999</v>
      </c>
      <c r="BE16" s="109">
        <f t="shared" si="17"/>
        <v>23.6</v>
      </c>
      <c r="BF16" s="110">
        <f t="shared" si="17"/>
        <v>1409.4</v>
      </c>
      <c r="BG16" s="109">
        <f t="shared" si="17"/>
        <v>0.30559999999999998</v>
      </c>
      <c r="BH16" s="110">
        <f t="shared" si="17"/>
        <v>6.2240500000000001</v>
      </c>
    </row>
    <row r="17" spans="2:60" x14ac:dyDescent="0.4">
      <c r="B17" s="79">
        <v>-58</v>
      </c>
      <c r="C17" s="84">
        <v>5.5399999999999998E-2</v>
      </c>
      <c r="D17" s="93">
        <v>5.2900000000000003E-2</v>
      </c>
      <c r="E17" s="92">
        <v>7.4560000000000002E-4</v>
      </c>
      <c r="F17" s="83">
        <v>0.33603</v>
      </c>
      <c r="G17" s="84">
        <v>125.17</v>
      </c>
      <c r="H17" s="93">
        <v>333.03</v>
      </c>
      <c r="I17" s="92">
        <v>0.6946</v>
      </c>
      <c r="J17" s="93">
        <v>1.663</v>
      </c>
      <c r="L17" s="79">
        <v>-58</v>
      </c>
      <c r="M17" s="84">
        <v>7.1999999999999995E-2</v>
      </c>
      <c r="N17" s="93">
        <v>7.0999999999999994E-2</v>
      </c>
      <c r="O17" s="111">
        <v>7.3023999999999995E-4</v>
      </c>
      <c r="P17" s="83">
        <v>0.33274999999999999</v>
      </c>
      <c r="Q17" s="84">
        <v>117.82</v>
      </c>
      <c r="R17" s="93">
        <v>395.87</v>
      </c>
      <c r="S17" s="92">
        <v>0.66500000000000004</v>
      </c>
      <c r="T17" s="93">
        <v>1.9576</v>
      </c>
      <c r="V17" s="94">
        <v>-58</v>
      </c>
      <c r="W17" s="84">
        <v>5.4854E-2</v>
      </c>
      <c r="X17" s="93">
        <v>3.8238000000000001E-2</v>
      </c>
      <c r="Y17" s="92">
        <v>7.2191741264799301E-4</v>
      </c>
      <c r="Z17" s="83">
        <v>0.53056027164685904</v>
      </c>
      <c r="AA17" s="84">
        <v>122.13</v>
      </c>
      <c r="AB17" s="93">
        <v>368.13</v>
      </c>
      <c r="AC17" s="92">
        <v>0.68196000000000001</v>
      </c>
      <c r="AD17" s="93">
        <v>1.845</v>
      </c>
      <c r="AF17" s="94">
        <v>-48</v>
      </c>
      <c r="AG17" s="84">
        <v>0.16520000000000001</v>
      </c>
      <c r="AH17" s="93">
        <v>9.6100000000000005E-2</v>
      </c>
      <c r="AI17" s="84">
        <v>7.5299999999999998E-4</v>
      </c>
      <c r="AJ17" s="93">
        <v>0.251</v>
      </c>
      <c r="AK17" s="84">
        <v>131.19999999999999</v>
      </c>
      <c r="AL17" s="93">
        <v>393.4</v>
      </c>
      <c r="AM17" s="84">
        <v>0.72599999999999998</v>
      </c>
      <c r="AN17" s="93">
        <v>1.915</v>
      </c>
      <c r="AP17" s="94">
        <v>-38</v>
      </c>
      <c r="AQ17" s="90">
        <v>1.0805</v>
      </c>
      <c r="AR17" s="105"/>
      <c r="AS17" s="92">
        <v>9.0209999999999997E-4</v>
      </c>
      <c r="AT17" s="83">
        <v>3.5624000000000003E-2</v>
      </c>
      <c r="AU17" s="84">
        <v>116.95</v>
      </c>
      <c r="AV17" s="93">
        <v>435.72</v>
      </c>
      <c r="AW17" s="92">
        <v>0.68259999999999998</v>
      </c>
      <c r="AX17" s="93">
        <v>2.0381999999999998</v>
      </c>
      <c r="AZ17" s="94">
        <v>-38</v>
      </c>
      <c r="BA17" s="90">
        <v>7.9710000000000003E-2</v>
      </c>
      <c r="BB17" s="105"/>
      <c r="BC17" s="84">
        <v>1.4541000000000001E-3</v>
      </c>
      <c r="BD17" s="112">
        <v>1.4068000000000001</v>
      </c>
      <c r="BE17" s="84">
        <v>28</v>
      </c>
      <c r="BF17" s="93">
        <v>1411</v>
      </c>
      <c r="BG17" s="92">
        <v>0.32450000000000001</v>
      </c>
      <c r="BH17" s="93">
        <v>6.2055999999999996</v>
      </c>
    </row>
    <row r="18" spans="2:60" x14ac:dyDescent="0.4">
      <c r="B18" s="100">
        <v>-57</v>
      </c>
      <c r="C18" s="101">
        <f t="shared" ref="C18:J18" si="18">(C17+C19)/2</f>
        <v>5.8499999999999996E-2</v>
      </c>
      <c r="D18" s="102">
        <f t="shared" si="18"/>
        <v>5.595E-2</v>
      </c>
      <c r="E18" s="101">
        <f t="shared" si="18"/>
        <v>7.4725000000000008E-4</v>
      </c>
      <c r="F18" s="102">
        <f t="shared" si="18"/>
        <v>0.31969999999999998</v>
      </c>
      <c r="G18" s="103">
        <f t="shared" si="18"/>
        <v>126.39</v>
      </c>
      <c r="H18" s="104">
        <f t="shared" si="18"/>
        <v>333.63499999999999</v>
      </c>
      <c r="I18" s="103">
        <f t="shared" si="18"/>
        <v>0.70025000000000004</v>
      </c>
      <c r="J18" s="104">
        <f t="shared" si="18"/>
        <v>1.6615</v>
      </c>
      <c r="L18" s="100">
        <v>-57</v>
      </c>
      <c r="M18" s="103">
        <f t="shared" ref="M18:T18" si="19">(M17+M19)/2</f>
        <v>7.5999999999999998E-2</v>
      </c>
      <c r="N18" s="104">
        <f t="shared" si="19"/>
        <v>7.5499999999999998E-2</v>
      </c>
      <c r="O18" s="103">
        <f t="shared" si="19"/>
        <v>7.3185500000000001E-4</v>
      </c>
      <c r="P18" s="104">
        <f t="shared" si="19"/>
        <v>0.31673499999999999</v>
      </c>
      <c r="Q18" s="103">
        <f t="shared" si="19"/>
        <v>119.155</v>
      </c>
      <c r="R18" s="104">
        <f t="shared" si="19"/>
        <v>396.40999999999997</v>
      </c>
      <c r="S18" s="103">
        <f t="shared" si="19"/>
        <v>0.67115000000000002</v>
      </c>
      <c r="T18" s="104">
        <f t="shared" si="19"/>
        <v>1.9541500000000001</v>
      </c>
      <c r="V18" s="79">
        <v>-57</v>
      </c>
      <c r="W18" s="84">
        <v>5.7936000000000001E-2</v>
      </c>
      <c r="X18" s="93">
        <v>4.0568E-2</v>
      </c>
      <c r="Y18" s="92">
        <v>7.2343196122404694E-4</v>
      </c>
      <c r="Z18" s="83">
        <v>0.50195763477562494</v>
      </c>
      <c r="AA18" s="84">
        <v>123.41</v>
      </c>
      <c r="AB18" s="93">
        <v>368.74</v>
      </c>
      <c r="AC18" s="92">
        <v>0.68791000000000002</v>
      </c>
      <c r="AD18" s="93">
        <v>1.8423</v>
      </c>
      <c r="AF18" s="94">
        <v>-47</v>
      </c>
      <c r="AG18" s="84">
        <v>0.17269999999999999</v>
      </c>
      <c r="AH18" s="93">
        <v>0.1011</v>
      </c>
      <c r="AI18" s="84">
        <v>7.54E-4</v>
      </c>
      <c r="AJ18" s="93">
        <v>0.2392</v>
      </c>
      <c r="AK18" s="84">
        <v>132.6</v>
      </c>
      <c r="AL18" s="93">
        <v>393.9</v>
      </c>
      <c r="AM18" s="84">
        <v>0.73199999999999998</v>
      </c>
      <c r="AN18" s="93">
        <v>1.9119999999999999</v>
      </c>
      <c r="AP18" s="79">
        <v>-37</v>
      </c>
      <c r="AQ18" s="90">
        <v>1.1201000000000001</v>
      </c>
      <c r="AR18" s="105"/>
      <c r="AS18" s="92">
        <v>9.054E-4</v>
      </c>
      <c r="AT18" s="83">
        <v>3.4376999999999998E-2</v>
      </c>
      <c r="AU18" s="84">
        <v>118.98</v>
      </c>
      <c r="AV18" s="93">
        <v>435.9</v>
      </c>
      <c r="AW18" s="92">
        <v>0.69110000000000005</v>
      </c>
      <c r="AX18" s="93">
        <v>2.0030999999999999</v>
      </c>
      <c r="AZ18" s="79">
        <v>-37</v>
      </c>
      <c r="BA18" s="106">
        <f>(BA17+BA19)/2</f>
        <v>8.4080000000000002E-2</v>
      </c>
      <c r="BB18" s="108"/>
      <c r="BC18" s="106">
        <f t="shared" ref="BC18:BH18" si="20">(BC17+BC19)/2</f>
        <v>1.4567E-3</v>
      </c>
      <c r="BD18" s="113">
        <f t="shared" si="20"/>
        <v>1.34165</v>
      </c>
      <c r="BE18" s="109">
        <f t="shared" si="20"/>
        <v>32.450000000000003</v>
      </c>
      <c r="BF18" s="110">
        <f t="shared" si="20"/>
        <v>1412.55</v>
      </c>
      <c r="BG18" s="109">
        <f t="shared" si="20"/>
        <v>0.34320000000000001</v>
      </c>
      <c r="BH18" s="110">
        <f t="shared" si="20"/>
        <v>6.1875</v>
      </c>
    </row>
    <row r="19" spans="2:60" x14ac:dyDescent="0.4">
      <c r="B19" s="94">
        <v>-56</v>
      </c>
      <c r="C19" s="84">
        <v>6.1600000000000002E-2</v>
      </c>
      <c r="D19" s="93">
        <v>5.8999999999999997E-2</v>
      </c>
      <c r="E19" s="92">
        <v>7.4890000000000004E-4</v>
      </c>
      <c r="F19" s="83">
        <v>0.30336999999999997</v>
      </c>
      <c r="G19" s="84">
        <v>127.61</v>
      </c>
      <c r="H19" s="93">
        <v>334.24</v>
      </c>
      <c r="I19" s="92">
        <v>0.70589999999999997</v>
      </c>
      <c r="J19" s="93">
        <v>1.66</v>
      </c>
      <c r="L19" s="79">
        <v>-56</v>
      </c>
      <c r="M19" s="84">
        <v>0.08</v>
      </c>
      <c r="N19" s="93">
        <v>0.08</v>
      </c>
      <c r="O19" s="111">
        <v>7.3346999999999996E-4</v>
      </c>
      <c r="P19" s="83">
        <v>0.30071999999999999</v>
      </c>
      <c r="Q19" s="84">
        <v>120.49</v>
      </c>
      <c r="R19" s="93">
        <v>396.95</v>
      </c>
      <c r="S19" s="92">
        <v>0.67730000000000001</v>
      </c>
      <c r="T19" s="93">
        <v>1.9507000000000001</v>
      </c>
      <c r="V19" s="94">
        <v>-56</v>
      </c>
      <c r="W19" s="84">
        <v>6.1155000000000001E-2</v>
      </c>
      <c r="X19" s="93">
        <v>4.4301199999999999E-2</v>
      </c>
      <c r="Y19" s="92">
        <v>7.2495287806292582E-4</v>
      </c>
      <c r="Z19" s="83">
        <v>0.47517224994060353</v>
      </c>
      <c r="AA19" s="84">
        <v>124.7</v>
      </c>
      <c r="AB19" s="93">
        <v>369.35</v>
      </c>
      <c r="AC19" s="92">
        <v>0.69384000000000001</v>
      </c>
      <c r="AD19" s="93">
        <v>1.8395999999999999</v>
      </c>
      <c r="AF19" s="94">
        <v>-46</v>
      </c>
      <c r="AG19" s="84">
        <v>0.1804</v>
      </c>
      <c r="AH19" s="93">
        <v>0.10639999999999999</v>
      </c>
      <c r="AI19" s="84">
        <v>7.5600000000000005E-4</v>
      </c>
      <c r="AJ19" s="93">
        <v>0.2281</v>
      </c>
      <c r="AK19" s="84">
        <v>133.9</v>
      </c>
      <c r="AL19" s="93">
        <v>394.5</v>
      </c>
      <c r="AM19" s="84">
        <v>0.71799999999999997</v>
      </c>
      <c r="AN19" s="93">
        <v>1.909</v>
      </c>
      <c r="AP19" s="94">
        <v>-36</v>
      </c>
      <c r="AQ19" s="90">
        <v>1.1607000000000001</v>
      </c>
      <c r="AR19" s="105"/>
      <c r="AS19" s="92">
        <v>9.0870000000000002E-4</v>
      </c>
      <c r="AT19" s="83">
        <v>3.3181000000000002E-2</v>
      </c>
      <c r="AU19" s="84">
        <v>121.01</v>
      </c>
      <c r="AV19" s="93">
        <v>436.07</v>
      </c>
      <c r="AW19" s="92">
        <v>0.69950000000000001</v>
      </c>
      <c r="AX19" s="93">
        <v>2.0280999999999998</v>
      </c>
      <c r="AZ19" s="94">
        <v>-36</v>
      </c>
      <c r="BA19" s="90">
        <v>8.8450000000000001E-2</v>
      </c>
      <c r="BB19" s="105"/>
      <c r="BC19" s="84">
        <v>1.4593E-3</v>
      </c>
      <c r="BD19" s="112">
        <v>1.2765</v>
      </c>
      <c r="BE19" s="84">
        <v>36.9</v>
      </c>
      <c r="BF19" s="93">
        <v>1414.1</v>
      </c>
      <c r="BG19" s="92">
        <v>0.3619</v>
      </c>
      <c r="BH19" s="93">
        <v>6.1694000000000004</v>
      </c>
    </row>
    <row r="20" spans="2:60" x14ac:dyDescent="0.4">
      <c r="B20" s="100">
        <v>-55</v>
      </c>
      <c r="C20" s="101">
        <f t="shared" ref="C20:J20" si="21">(C19+C21)/2</f>
        <v>6.5000000000000002E-2</v>
      </c>
      <c r="D20" s="102">
        <f t="shared" si="21"/>
        <v>6.2349999999999996E-2</v>
      </c>
      <c r="E20" s="101">
        <f t="shared" si="21"/>
        <v>7.5060000000000003E-4</v>
      </c>
      <c r="F20" s="102">
        <f t="shared" si="21"/>
        <v>0.28892499999999999</v>
      </c>
      <c r="G20" s="103">
        <f t="shared" si="21"/>
        <v>128.83000000000001</v>
      </c>
      <c r="H20" s="104">
        <f t="shared" si="21"/>
        <v>334.85</v>
      </c>
      <c r="I20" s="103">
        <f t="shared" si="21"/>
        <v>0.71144999999999992</v>
      </c>
      <c r="J20" s="104">
        <f t="shared" si="21"/>
        <v>1.6585000000000001</v>
      </c>
      <c r="L20" s="100">
        <v>-55</v>
      </c>
      <c r="M20" s="103">
        <f t="shared" ref="M20:T20" si="22">(M19+M21)/2</f>
        <v>8.4499999999999992E-2</v>
      </c>
      <c r="N20" s="104">
        <f t="shared" si="22"/>
        <v>8.3999999999999991E-2</v>
      </c>
      <c r="O20" s="103">
        <f t="shared" si="22"/>
        <v>7.3510999999999997E-4</v>
      </c>
      <c r="P20" s="104">
        <f t="shared" si="22"/>
        <v>0.28652500000000003</v>
      </c>
      <c r="Q20" s="103">
        <f t="shared" si="22"/>
        <v>66.33</v>
      </c>
      <c r="R20" s="104">
        <f t="shared" si="22"/>
        <v>397.48500000000001</v>
      </c>
      <c r="S20" s="103">
        <f t="shared" si="22"/>
        <v>0.68340000000000001</v>
      </c>
      <c r="T20" s="104">
        <f t="shared" si="22"/>
        <v>1.9473500000000001</v>
      </c>
      <c r="V20" s="79">
        <v>-55</v>
      </c>
      <c r="W20" s="84">
        <v>6.4516000000000004E-2</v>
      </c>
      <c r="X20" s="93">
        <v>4.5573000000000002E-2</v>
      </c>
      <c r="Y20" s="92">
        <v>7.2653298459750065E-4</v>
      </c>
      <c r="Z20" s="83">
        <v>0.45010577485709147</v>
      </c>
      <c r="AA20" s="84">
        <v>125.99</v>
      </c>
      <c r="AB20" s="93">
        <v>369.95</v>
      </c>
      <c r="AC20" s="92">
        <v>0.69974999999999998</v>
      </c>
      <c r="AD20" s="93">
        <v>1.8369</v>
      </c>
      <c r="AF20" s="94">
        <v>-45</v>
      </c>
      <c r="AG20" s="84">
        <v>0.18840000000000001</v>
      </c>
      <c r="AH20" s="93">
        <v>0.1118</v>
      </c>
      <c r="AI20" s="84">
        <v>7.5799999999999999E-4</v>
      </c>
      <c r="AJ20" s="93">
        <v>0.21759999999999999</v>
      </c>
      <c r="AK20" s="84">
        <v>135.30000000000001</v>
      </c>
      <c r="AL20" s="93">
        <v>395</v>
      </c>
      <c r="AM20" s="84">
        <v>0.74399999999999999</v>
      </c>
      <c r="AN20" s="93">
        <v>1.9059999999999999</v>
      </c>
      <c r="AP20" s="79">
        <v>-35</v>
      </c>
      <c r="AQ20" s="90">
        <v>1.2023999999999999</v>
      </c>
      <c r="AR20" s="105"/>
      <c r="AS20" s="92">
        <v>9.1200000000000005E-4</v>
      </c>
      <c r="AT20" s="83">
        <v>3.2035000000000001E-2</v>
      </c>
      <c r="AU20" s="84">
        <v>123.05</v>
      </c>
      <c r="AV20" s="93">
        <v>436.23</v>
      </c>
      <c r="AW20" s="92">
        <v>0.70789999999999997</v>
      </c>
      <c r="AX20" s="93">
        <v>2.0230000000000001</v>
      </c>
      <c r="AZ20" s="79">
        <v>-35</v>
      </c>
      <c r="BA20" s="106">
        <f>(BA19+BA21)/2</f>
        <v>9.3200000000000005E-2</v>
      </c>
      <c r="BB20" s="108"/>
      <c r="BC20" s="106">
        <f t="shared" ref="BC20:BH20" si="23">(BC19+BC21)/2</f>
        <v>1.4618999999999999E-3</v>
      </c>
      <c r="BD20" s="113">
        <f t="shared" si="23"/>
        <v>1.21845</v>
      </c>
      <c r="BE20" s="109">
        <f t="shared" si="23"/>
        <v>41.349999999999994</v>
      </c>
      <c r="BF20" s="110">
        <f t="shared" si="23"/>
        <v>1415.65</v>
      </c>
      <c r="BG20" s="109">
        <f t="shared" si="23"/>
        <v>0.38055</v>
      </c>
      <c r="BH20" s="110">
        <f t="shared" si="23"/>
        <v>6.1516500000000001</v>
      </c>
    </row>
    <row r="21" spans="2:60" x14ac:dyDescent="0.4">
      <c r="B21" s="79">
        <v>-54</v>
      </c>
      <c r="C21" s="84">
        <v>6.8400000000000002E-2</v>
      </c>
      <c r="D21" s="93">
        <v>6.5699999999999995E-2</v>
      </c>
      <c r="E21" s="92">
        <v>7.5230000000000002E-4</v>
      </c>
      <c r="F21" s="83">
        <v>0.27448</v>
      </c>
      <c r="G21" s="84">
        <v>130.05000000000001</v>
      </c>
      <c r="H21" s="93">
        <v>335.46</v>
      </c>
      <c r="I21" s="92">
        <v>0.71699999999999997</v>
      </c>
      <c r="J21" s="93">
        <v>1.657</v>
      </c>
      <c r="L21" s="79">
        <v>-54</v>
      </c>
      <c r="M21" s="84">
        <v>8.8999999999999996E-2</v>
      </c>
      <c r="N21" s="93">
        <v>8.7999999999999995E-2</v>
      </c>
      <c r="O21" s="111">
        <v>7.3674999999999999E-4</v>
      </c>
      <c r="P21" s="83">
        <v>0.27233000000000002</v>
      </c>
      <c r="Q21" s="84">
        <v>12.17</v>
      </c>
      <c r="R21" s="93">
        <v>398.02</v>
      </c>
      <c r="S21" s="92">
        <v>0.6895</v>
      </c>
      <c r="T21" s="93">
        <v>1.944</v>
      </c>
      <c r="V21" s="94">
        <v>-54</v>
      </c>
      <c r="W21" s="84">
        <v>6.8024000000000001E-2</v>
      </c>
      <c r="X21" s="93">
        <v>4.8254999999999999E-2</v>
      </c>
      <c r="Y21" s="92">
        <v>7.2806698216235891E-4</v>
      </c>
      <c r="Z21" s="83">
        <v>0.42660296062454672</v>
      </c>
      <c r="AA21" s="84">
        <v>127.28</v>
      </c>
      <c r="AB21" s="93">
        <v>370.56</v>
      </c>
      <c r="AC21" s="92">
        <v>0.70562999999999998</v>
      </c>
      <c r="AD21" s="93">
        <v>1.8343</v>
      </c>
      <c r="AF21" s="94">
        <v>-44</v>
      </c>
      <c r="AG21" s="84">
        <v>0.19670000000000001</v>
      </c>
      <c r="AH21" s="93">
        <v>0.11749999999999999</v>
      </c>
      <c r="AI21" s="84">
        <v>7.6000000000000004E-4</v>
      </c>
      <c r="AJ21" s="93">
        <v>0.20760000000000001</v>
      </c>
      <c r="AK21" s="84">
        <v>136.69999999999999</v>
      </c>
      <c r="AL21" s="93">
        <v>395.6</v>
      </c>
      <c r="AM21" s="84">
        <v>0.75</v>
      </c>
      <c r="AN21" s="93">
        <v>1.903</v>
      </c>
      <c r="AP21" s="94">
        <v>-34</v>
      </c>
      <c r="AQ21" s="90">
        <v>1.2452000000000001</v>
      </c>
      <c r="AR21" s="105"/>
      <c r="AS21" s="92">
        <v>9.1549999999999997E-4</v>
      </c>
      <c r="AT21" s="83">
        <v>3.0935000000000001E-2</v>
      </c>
      <c r="AU21" s="84">
        <v>125.1</v>
      </c>
      <c r="AV21" s="93">
        <v>436.37</v>
      </c>
      <c r="AW21" s="92">
        <v>0.71630000000000005</v>
      </c>
      <c r="AX21" s="93">
        <v>2.0179999999999998</v>
      </c>
      <c r="AZ21" s="94">
        <v>-34</v>
      </c>
      <c r="BA21" s="90">
        <v>9.7949999999999995E-2</v>
      </c>
      <c r="BB21" s="105"/>
      <c r="BC21" s="84">
        <v>1.4645000000000001E-3</v>
      </c>
      <c r="BD21" s="112">
        <v>1.1604000000000001</v>
      </c>
      <c r="BE21" s="84">
        <v>45.8</v>
      </c>
      <c r="BF21" s="93">
        <v>1417.2</v>
      </c>
      <c r="BG21" s="92">
        <v>0.3992</v>
      </c>
      <c r="BH21" s="93">
        <v>6.1338999999999997</v>
      </c>
    </row>
    <row r="22" spans="2:60" x14ac:dyDescent="0.4">
      <c r="B22" s="114">
        <v>-53</v>
      </c>
      <c r="C22" s="101">
        <f t="shared" ref="C22:J22" si="24">(C21+C23)/2</f>
        <v>7.2149999999999992E-2</v>
      </c>
      <c r="D22" s="102">
        <f t="shared" si="24"/>
        <v>6.93E-2</v>
      </c>
      <c r="E22" s="101">
        <f t="shared" si="24"/>
        <v>7.54E-4</v>
      </c>
      <c r="F22" s="102">
        <f t="shared" si="24"/>
        <v>0.26167000000000001</v>
      </c>
      <c r="G22" s="103">
        <f t="shared" si="24"/>
        <v>131.27500000000001</v>
      </c>
      <c r="H22" s="104">
        <f t="shared" si="24"/>
        <v>336.065</v>
      </c>
      <c r="I22" s="103">
        <f t="shared" si="24"/>
        <v>0.72255000000000003</v>
      </c>
      <c r="J22" s="104">
        <f t="shared" si="24"/>
        <v>1.6555</v>
      </c>
      <c r="L22" s="100">
        <v>-53</v>
      </c>
      <c r="M22" s="103">
        <f t="shared" ref="M22:T22" si="25">(M21+M23)/2</f>
        <v>9.4E-2</v>
      </c>
      <c r="N22" s="104">
        <f t="shared" si="25"/>
        <v>9.2999999999999999E-2</v>
      </c>
      <c r="O22" s="103">
        <f t="shared" si="25"/>
        <v>7.3841499999999997E-4</v>
      </c>
      <c r="P22" s="104">
        <f t="shared" si="25"/>
        <v>0.25972000000000001</v>
      </c>
      <c r="Q22" s="103">
        <f t="shared" si="25"/>
        <v>69.015000000000001</v>
      </c>
      <c r="R22" s="104">
        <f t="shared" si="25"/>
        <v>398.54999999999995</v>
      </c>
      <c r="S22" s="103">
        <f t="shared" si="25"/>
        <v>0.6956</v>
      </c>
      <c r="T22" s="104">
        <f t="shared" si="25"/>
        <v>1.9407000000000001</v>
      </c>
      <c r="V22" s="79">
        <v>-53</v>
      </c>
      <c r="W22" s="84">
        <v>7.1680999999999995E-2</v>
      </c>
      <c r="X22" s="93">
        <v>5.1063999999999998E-2</v>
      </c>
      <c r="Y22" s="92">
        <v>7.2966070777088653E-4</v>
      </c>
      <c r="Z22" s="83">
        <v>0.40457984383218032</v>
      </c>
      <c r="AA22" s="84">
        <v>128.57</v>
      </c>
      <c r="AB22" s="93">
        <v>371.17</v>
      </c>
      <c r="AC22" s="92">
        <v>0.71150000000000002</v>
      </c>
      <c r="AD22" s="93">
        <v>1.8318000000000001</v>
      </c>
      <c r="AF22" s="94">
        <v>-43</v>
      </c>
      <c r="AG22" s="84">
        <v>0.20519999999999999</v>
      </c>
      <c r="AH22" s="93">
        <v>0.1235</v>
      </c>
      <c r="AI22" s="84">
        <v>7.6199999999999998E-4</v>
      </c>
      <c r="AJ22" s="93">
        <v>0.19819999999999999</v>
      </c>
      <c r="AK22" s="84">
        <v>138.1</v>
      </c>
      <c r="AL22" s="93">
        <v>396.2</v>
      </c>
      <c r="AM22" s="84">
        <v>0.75600000000000001</v>
      </c>
      <c r="AN22" s="93">
        <v>1.9</v>
      </c>
      <c r="AP22" s="79">
        <v>-33</v>
      </c>
      <c r="AQ22" s="90">
        <v>1.2890999999999999</v>
      </c>
      <c r="AR22" s="105"/>
      <c r="AS22" s="92">
        <v>9.1889999999999995E-4</v>
      </c>
      <c r="AT22" s="83">
        <v>2.9878999999999999E-2</v>
      </c>
      <c r="AU22" s="84">
        <v>127.15</v>
      </c>
      <c r="AV22" s="93">
        <v>436.51</v>
      </c>
      <c r="AW22" s="92">
        <v>0.7147</v>
      </c>
      <c r="AX22" s="93">
        <v>2.0129000000000001</v>
      </c>
      <c r="AZ22" s="79">
        <v>-33</v>
      </c>
      <c r="BA22" s="106">
        <f>(BA21+BA23)/2</f>
        <v>0.103105</v>
      </c>
      <c r="BB22" s="108"/>
      <c r="BC22" s="106">
        <f t="shared" ref="BC22:BH22" si="26">(BC21+BC23)/2</f>
        <v>1.4672000000000001E-3</v>
      </c>
      <c r="BD22" s="113">
        <f t="shared" si="26"/>
        <v>1.1085500000000001</v>
      </c>
      <c r="BE22" s="109">
        <f t="shared" si="26"/>
        <v>50.25</v>
      </c>
      <c r="BF22" s="110">
        <f t="shared" si="26"/>
        <v>1418.75</v>
      </c>
      <c r="BG22" s="109">
        <f t="shared" si="26"/>
        <v>0.41769999999999996</v>
      </c>
      <c r="BH22" s="110">
        <f t="shared" si="26"/>
        <v>6.1165500000000002</v>
      </c>
    </row>
    <row r="23" spans="2:60" x14ac:dyDescent="0.4">
      <c r="B23" s="79">
        <v>-52</v>
      </c>
      <c r="C23" s="84">
        <v>7.5899999999999995E-2</v>
      </c>
      <c r="D23" s="93">
        <v>7.2900000000000006E-2</v>
      </c>
      <c r="E23" s="92">
        <v>7.5569999999999999E-4</v>
      </c>
      <c r="F23" s="83">
        <v>0.24886</v>
      </c>
      <c r="G23" s="84">
        <v>132.5</v>
      </c>
      <c r="H23" s="93">
        <v>336.67</v>
      </c>
      <c r="I23" s="92">
        <v>0.72809999999999997</v>
      </c>
      <c r="J23" s="93">
        <v>1.6539999999999999</v>
      </c>
      <c r="L23" s="79">
        <v>-52</v>
      </c>
      <c r="M23" s="84">
        <v>9.9000000000000005E-2</v>
      </c>
      <c r="N23" s="93">
        <v>9.8000000000000004E-2</v>
      </c>
      <c r="O23" s="111">
        <v>7.4007999999999995E-4</v>
      </c>
      <c r="P23" s="83">
        <v>0.24711</v>
      </c>
      <c r="Q23" s="84">
        <v>125.86</v>
      </c>
      <c r="R23" s="93">
        <v>399.08</v>
      </c>
      <c r="S23" s="92">
        <v>0.70169999999999999</v>
      </c>
      <c r="T23" s="93">
        <v>1.9374</v>
      </c>
      <c r="V23" s="94">
        <v>-52</v>
      </c>
      <c r="W23" s="84">
        <v>7.5494000000000006E-2</v>
      </c>
      <c r="X23" s="93">
        <v>5.4002000000000001E-2</v>
      </c>
      <c r="Y23" s="92">
        <v>7.3126142595978066E-4</v>
      </c>
      <c r="Z23" s="83">
        <v>0.38389189604207452</v>
      </c>
      <c r="AA23" s="84">
        <v>129.86000000000001</v>
      </c>
      <c r="AB23" s="93">
        <v>371.77</v>
      </c>
      <c r="AC23" s="92">
        <v>0.71733999999999998</v>
      </c>
      <c r="AD23" s="93">
        <v>1.8292999999999999</v>
      </c>
      <c r="AF23" s="94">
        <v>-42</v>
      </c>
      <c r="AG23" s="84">
        <v>0.21410000000000001</v>
      </c>
      <c r="AH23" s="93">
        <v>0.12959999999999999</v>
      </c>
      <c r="AI23" s="84">
        <v>7.6400000000000003E-4</v>
      </c>
      <c r="AJ23" s="93">
        <v>0.1893</v>
      </c>
      <c r="AK23" s="84">
        <v>139.5</v>
      </c>
      <c r="AL23" s="93">
        <v>396.7</v>
      </c>
      <c r="AM23" s="84">
        <v>0.76200000000000001</v>
      </c>
      <c r="AN23" s="93">
        <v>1.897</v>
      </c>
      <c r="AP23" s="94">
        <v>-32</v>
      </c>
      <c r="AQ23" s="90">
        <v>1.3342000000000001</v>
      </c>
      <c r="AR23" s="105"/>
      <c r="AS23" s="92">
        <v>9.2239999999999998E-4</v>
      </c>
      <c r="AT23" s="83">
        <v>2.8864999999999998E-2</v>
      </c>
      <c r="AU23" s="84">
        <v>129.19999999999999</v>
      </c>
      <c r="AV23" s="93">
        <v>436.62</v>
      </c>
      <c r="AW23" s="92">
        <v>0.73309999999999997</v>
      </c>
      <c r="AX23" s="93">
        <v>2.0078999999999998</v>
      </c>
      <c r="AZ23" s="94">
        <v>-32</v>
      </c>
      <c r="BA23" s="90">
        <v>0.10826</v>
      </c>
      <c r="BB23" s="105"/>
      <c r="BC23" s="84">
        <v>1.4698999999999999E-3</v>
      </c>
      <c r="BD23" s="112">
        <v>1.0567</v>
      </c>
      <c r="BE23" s="84">
        <v>54.7</v>
      </c>
      <c r="BF23" s="93">
        <v>1420.3</v>
      </c>
      <c r="BG23" s="92">
        <v>0.43619999999999998</v>
      </c>
      <c r="BH23" s="93">
        <v>6.0991999999999997</v>
      </c>
    </row>
    <row r="24" spans="2:60" x14ac:dyDescent="0.4">
      <c r="B24" s="100">
        <v>-51</v>
      </c>
      <c r="C24" s="101">
        <f t="shared" ref="C24:J24" si="27">(C23+C25)/2</f>
        <v>7.9899999999999999E-2</v>
      </c>
      <c r="D24" s="102">
        <f t="shared" si="27"/>
        <v>7.6800000000000007E-2</v>
      </c>
      <c r="E24" s="101">
        <f t="shared" si="27"/>
        <v>7.5739999999999998E-4</v>
      </c>
      <c r="F24" s="102">
        <f t="shared" si="27"/>
        <v>0.23747000000000001</v>
      </c>
      <c r="G24" s="103">
        <f t="shared" si="27"/>
        <v>133.73000000000002</v>
      </c>
      <c r="H24" s="104">
        <f t="shared" si="27"/>
        <v>337.27499999999998</v>
      </c>
      <c r="I24" s="103">
        <f t="shared" si="27"/>
        <v>0.73364999999999991</v>
      </c>
      <c r="J24" s="104">
        <f t="shared" si="27"/>
        <v>1.6524999999999999</v>
      </c>
      <c r="L24" s="100">
        <v>-51</v>
      </c>
      <c r="M24" s="103">
        <f t="shared" ref="M24:T24" si="28">(M23+M25)/2</f>
        <v>0.10400000000000001</v>
      </c>
      <c r="N24" s="104">
        <f t="shared" si="28"/>
        <v>0.10350000000000001</v>
      </c>
      <c r="O24" s="103">
        <f t="shared" si="28"/>
        <v>7.4177499999999996E-4</v>
      </c>
      <c r="P24" s="104">
        <f t="shared" si="28"/>
        <v>0.23588500000000001</v>
      </c>
      <c r="Q24" s="103">
        <f t="shared" si="28"/>
        <v>127.21000000000001</v>
      </c>
      <c r="R24" s="104">
        <f t="shared" si="28"/>
        <v>399.60500000000002</v>
      </c>
      <c r="S24" s="103">
        <f t="shared" si="28"/>
        <v>0.70774999999999999</v>
      </c>
      <c r="T24" s="104">
        <f t="shared" si="28"/>
        <v>1.93425</v>
      </c>
      <c r="V24" s="79">
        <v>-51</v>
      </c>
      <c r="W24" s="84">
        <v>7.9466999999999996E-2</v>
      </c>
      <c r="X24" s="93">
        <v>5.7075000000000001E-2</v>
      </c>
      <c r="Y24" s="92">
        <v>7.3281547706287558E-4</v>
      </c>
      <c r="Z24" s="83">
        <v>0.36448461874908883</v>
      </c>
      <c r="AA24" s="84">
        <v>131.15</v>
      </c>
      <c r="AB24" s="93">
        <v>372.37</v>
      </c>
      <c r="AC24" s="92">
        <v>0.72316999999999998</v>
      </c>
      <c r="AD24" s="93">
        <v>1.8268</v>
      </c>
      <c r="AF24" s="94">
        <v>-41</v>
      </c>
      <c r="AG24" s="84">
        <v>0.22320000000000001</v>
      </c>
      <c r="AH24" s="93">
        <v>0.13600000000000001</v>
      </c>
      <c r="AI24" s="84">
        <v>7.6499999999999995E-4</v>
      </c>
      <c r="AJ24" s="93">
        <v>0.18090000000000001</v>
      </c>
      <c r="AK24" s="84">
        <v>140.80000000000001</v>
      </c>
      <c r="AL24" s="93">
        <v>397.3</v>
      </c>
      <c r="AM24" s="84">
        <v>0.76800000000000002</v>
      </c>
      <c r="AN24" s="93">
        <v>1.895</v>
      </c>
      <c r="AP24" s="79">
        <v>-31</v>
      </c>
      <c r="AQ24" s="90">
        <v>1.3804000000000001</v>
      </c>
      <c r="AR24" s="105"/>
      <c r="AS24" s="92">
        <v>9.2599999999999996E-4</v>
      </c>
      <c r="AT24" s="83">
        <v>2.7890999999999999E-2</v>
      </c>
      <c r="AU24" s="84">
        <v>131.27000000000001</v>
      </c>
      <c r="AV24" s="93">
        <v>436.73</v>
      </c>
      <c r="AW24" s="92">
        <v>0.74150000000000005</v>
      </c>
      <c r="AX24" s="93">
        <v>2.0028999999999999</v>
      </c>
      <c r="AZ24" s="79">
        <v>-31</v>
      </c>
      <c r="BA24" s="106">
        <f>(BA23+BA25)/2</f>
        <v>0.113845</v>
      </c>
      <c r="BB24" s="108"/>
      <c r="BC24" s="106">
        <f t="shared" ref="BC24:BH24" si="29">(BC23+BC25)/2</f>
        <v>1.4725999999999999E-3</v>
      </c>
      <c r="BD24" s="113">
        <f t="shared" si="29"/>
        <v>1.0103499999999999</v>
      </c>
      <c r="BE24" s="109">
        <f t="shared" si="29"/>
        <v>59.150000000000006</v>
      </c>
      <c r="BF24" s="110">
        <f t="shared" si="29"/>
        <v>1421.8</v>
      </c>
      <c r="BG24" s="109">
        <f t="shared" si="29"/>
        <v>0.4546</v>
      </c>
      <c r="BH24" s="110">
        <f t="shared" si="29"/>
        <v>6.0771499999999996</v>
      </c>
    </row>
    <row r="25" spans="2:60" x14ac:dyDescent="0.4">
      <c r="B25" s="94">
        <v>-50</v>
      </c>
      <c r="C25" s="84">
        <v>8.3900000000000002E-2</v>
      </c>
      <c r="D25" s="93">
        <v>8.0699999999999994E-2</v>
      </c>
      <c r="E25" s="92">
        <v>7.5909999999999997E-4</v>
      </c>
      <c r="F25" s="83">
        <v>0.22608</v>
      </c>
      <c r="G25" s="84">
        <v>134.96</v>
      </c>
      <c r="H25" s="93">
        <v>337.88</v>
      </c>
      <c r="I25" s="92">
        <v>0.73919999999999997</v>
      </c>
      <c r="J25" s="93">
        <v>1.651</v>
      </c>
      <c r="L25" s="79">
        <v>-50</v>
      </c>
      <c r="M25" s="84">
        <v>0.109</v>
      </c>
      <c r="N25" s="93">
        <v>0.109</v>
      </c>
      <c r="O25" s="111">
        <v>7.4346999999999998E-4</v>
      </c>
      <c r="P25" s="83">
        <v>0.22466</v>
      </c>
      <c r="Q25" s="84">
        <v>128.56</v>
      </c>
      <c r="R25" s="93">
        <v>400.13</v>
      </c>
      <c r="S25" s="92">
        <v>0.71379999999999999</v>
      </c>
      <c r="T25" s="93">
        <v>1.9311</v>
      </c>
      <c r="V25" s="94">
        <v>-50</v>
      </c>
      <c r="W25" s="84">
        <v>8.3603999999999998E-2</v>
      </c>
      <c r="X25" s="93">
        <v>6.0285999999999999E-2</v>
      </c>
      <c r="Y25" s="92">
        <v>7.3443008225616922E-4</v>
      </c>
      <c r="Z25" s="83">
        <v>0.34623641022089885</v>
      </c>
      <c r="AA25" s="84">
        <v>132.44999999999999</v>
      </c>
      <c r="AB25" s="93">
        <v>372.98</v>
      </c>
      <c r="AC25" s="92">
        <v>0.72897000000000001</v>
      </c>
      <c r="AD25" s="93">
        <v>1.8244</v>
      </c>
      <c r="AF25" s="94">
        <v>-40</v>
      </c>
      <c r="AG25" s="84">
        <v>0.2326</v>
      </c>
      <c r="AH25" s="93">
        <v>0.14269999999999999</v>
      </c>
      <c r="AI25" s="84">
        <v>7.67E-4</v>
      </c>
      <c r="AJ25" s="93">
        <v>0.17299999999999999</v>
      </c>
      <c r="AK25" s="84">
        <v>142.19999999999999</v>
      </c>
      <c r="AL25" s="93">
        <v>397.8</v>
      </c>
      <c r="AM25" s="84">
        <v>0.74</v>
      </c>
      <c r="AN25" s="93">
        <v>1.8919999999999999</v>
      </c>
      <c r="AP25" s="94">
        <v>-30</v>
      </c>
      <c r="AQ25" s="90">
        <v>1.4278</v>
      </c>
      <c r="AR25" s="105"/>
      <c r="AS25" s="92">
        <v>9.2960000000000004E-4</v>
      </c>
      <c r="AT25" s="83">
        <v>2.6956000000000001E-2</v>
      </c>
      <c r="AU25" s="84">
        <v>133.34</v>
      </c>
      <c r="AV25" s="93">
        <v>436.82</v>
      </c>
      <c r="AW25" s="92">
        <v>0.74980000000000002</v>
      </c>
      <c r="AX25" s="93">
        <v>1.998</v>
      </c>
      <c r="AZ25" s="94">
        <v>-30</v>
      </c>
      <c r="BA25" s="90">
        <v>0.11942999999999999</v>
      </c>
      <c r="BB25" s="105"/>
      <c r="BC25" s="84">
        <v>1.4752999999999999E-3</v>
      </c>
      <c r="BD25" s="112">
        <v>0.96399999999999997</v>
      </c>
      <c r="BE25" s="84">
        <v>63.6</v>
      </c>
      <c r="BF25" s="93">
        <v>1423.3</v>
      </c>
      <c r="BG25" s="92">
        <v>0.47299999999999998</v>
      </c>
      <c r="BH25" s="93">
        <v>6.0551000000000004</v>
      </c>
    </row>
    <row r="26" spans="2:60" x14ac:dyDescent="0.4">
      <c r="B26" s="100">
        <v>-49</v>
      </c>
      <c r="C26" s="101">
        <f t="shared" ref="C26:J26" si="30">(C25+C27)/2</f>
        <v>8.8249999999999995E-2</v>
      </c>
      <c r="D26" s="102">
        <f t="shared" si="30"/>
        <v>8.4949999999999998E-2</v>
      </c>
      <c r="E26" s="101">
        <f t="shared" si="30"/>
        <v>7.6084999999999998E-4</v>
      </c>
      <c r="F26" s="102">
        <f t="shared" si="30"/>
        <v>0.21593000000000001</v>
      </c>
      <c r="G26" s="103">
        <f t="shared" si="30"/>
        <v>136.19499999999999</v>
      </c>
      <c r="H26" s="104">
        <f t="shared" si="30"/>
        <v>338.48500000000001</v>
      </c>
      <c r="I26" s="103">
        <f t="shared" si="30"/>
        <v>0.74469999999999992</v>
      </c>
      <c r="J26" s="104">
        <f t="shared" si="30"/>
        <v>1.6495</v>
      </c>
      <c r="L26" s="100">
        <v>-49</v>
      </c>
      <c r="M26" s="103">
        <f t="shared" ref="M26:T26" si="31">(M25+M27)/2</f>
        <v>0.11449999999999999</v>
      </c>
      <c r="N26" s="104">
        <f t="shared" si="31"/>
        <v>0.11449999999999999</v>
      </c>
      <c r="O26" s="103">
        <f t="shared" si="31"/>
        <v>4.106335E-3</v>
      </c>
      <c r="P26" s="104">
        <f t="shared" si="31"/>
        <v>0.214645</v>
      </c>
      <c r="Q26" s="103">
        <f t="shared" si="31"/>
        <v>129.91500000000002</v>
      </c>
      <c r="R26" s="104">
        <f t="shared" si="31"/>
        <v>400.65</v>
      </c>
      <c r="S26" s="103">
        <f t="shared" si="31"/>
        <v>0.71984999999999999</v>
      </c>
      <c r="T26" s="104">
        <f t="shared" si="31"/>
        <v>1.9279999999999999</v>
      </c>
      <c r="V26" s="79">
        <v>-49</v>
      </c>
      <c r="W26" s="84">
        <v>8.7911000000000003E-2</v>
      </c>
      <c r="X26" s="93">
        <v>6.3641000000000003E-2</v>
      </c>
      <c r="Y26" s="92">
        <v>7.3605181804799061E-4</v>
      </c>
      <c r="Z26" s="83">
        <v>0.32908809688353574</v>
      </c>
      <c r="AA26" s="84">
        <v>133.75</v>
      </c>
      <c r="AB26" s="93">
        <v>373.58</v>
      </c>
      <c r="AC26" s="92">
        <v>0.73475999999999997</v>
      </c>
      <c r="AD26" s="93">
        <v>1.8220000000000001</v>
      </c>
      <c r="AF26" s="94">
        <v>-39</v>
      </c>
      <c r="AG26" s="84">
        <v>0.2424</v>
      </c>
      <c r="AH26" s="93">
        <v>0.14960000000000001</v>
      </c>
      <c r="AI26" s="84">
        <v>7.6900000000000004E-4</v>
      </c>
      <c r="AJ26" s="93">
        <v>0.16539999999999999</v>
      </c>
      <c r="AK26" s="84">
        <v>143.6</v>
      </c>
      <c r="AL26" s="93">
        <v>398.4</v>
      </c>
      <c r="AM26" s="84">
        <v>0.78</v>
      </c>
      <c r="AN26" s="93">
        <v>1.889</v>
      </c>
      <c r="AP26" s="79">
        <v>-29</v>
      </c>
      <c r="AQ26" s="90">
        <v>1.4762999999999999</v>
      </c>
      <c r="AR26" s="105"/>
      <c r="AS26" s="92">
        <v>9.3329999999999997E-4</v>
      </c>
      <c r="AT26" s="83">
        <v>2.6055999999999999E-2</v>
      </c>
      <c r="AU26" s="84">
        <v>135.41</v>
      </c>
      <c r="AV26" s="93">
        <v>436.9</v>
      </c>
      <c r="AW26" s="92">
        <v>0.75819999999999999</v>
      </c>
      <c r="AX26" s="93">
        <v>1.998</v>
      </c>
      <c r="AZ26" s="79">
        <v>-29</v>
      </c>
      <c r="BA26" s="106">
        <f>(BA25+BA27)/2</f>
        <v>0.125475</v>
      </c>
      <c r="BB26" s="108"/>
      <c r="BC26" s="106">
        <f t="shared" ref="BC26:BH26" si="32">(BC25+BC27)/2</f>
        <v>1.4780499999999999E-3</v>
      </c>
      <c r="BD26" s="113">
        <f t="shared" si="32"/>
        <v>0.9224</v>
      </c>
      <c r="BE26" s="109">
        <f t="shared" si="32"/>
        <v>68.099999999999994</v>
      </c>
      <c r="BF26" s="110">
        <f t="shared" si="32"/>
        <v>1424.8</v>
      </c>
      <c r="BG26" s="109">
        <f t="shared" si="32"/>
        <v>0.49130000000000001</v>
      </c>
      <c r="BH26" s="110">
        <f t="shared" si="32"/>
        <v>6.0434000000000001</v>
      </c>
    </row>
    <row r="27" spans="2:60" x14ac:dyDescent="0.4">
      <c r="B27" s="79">
        <v>-48</v>
      </c>
      <c r="C27" s="84">
        <v>9.2600000000000002E-2</v>
      </c>
      <c r="D27" s="93">
        <v>8.9200000000000002E-2</v>
      </c>
      <c r="E27" s="92">
        <v>7.626E-4</v>
      </c>
      <c r="F27" s="83">
        <v>0.20577999999999999</v>
      </c>
      <c r="G27" s="84">
        <v>137.43</v>
      </c>
      <c r="H27" s="93">
        <v>339.09</v>
      </c>
      <c r="I27" s="92">
        <v>0.75019999999999998</v>
      </c>
      <c r="J27" s="93">
        <v>1.6479999999999999</v>
      </c>
      <c r="L27" s="79">
        <v>-48</v>
      </c>
      <c r="M27" s="84">
        <v>0.12</v>
      </c>
      <c r="N27" s="93">
        <v>0.12</v>
      </c>
      <c r="O27" s="111">
        <v>7.4691999999999996E-3</v>
      </c>
      <c r="P27" s="83">
        <v>0.20463000000000001</v>
      </c>
      <c r="Q27" s="84">
        <v>131.27000000000001</v>
      </c>
      <c r="R27" s="93">
        <v>401.17</v>
      </c>
      <c r="S27" s="92">
        <v>0.72589999999999999</v>
      </c>
      <c r="T27" s="93">
        <v>1.9249000000000001</v>
      </c>
      <c r="V27" s="94">
        <v>-48</v>
      </c>
      <c r="W27" s="84">
        <v>9.2392000000000002E-2</v>
      </c>
      <c r="X27" s="93">
        <v>6.7142999999999994E-2</v>
      </c>
      <c r="Y27" s="92">
        <v>7.3768073177928593E-4</v>
      </c>
      <c r="Z27" s="83">
        <v>0.31294986543155789</v>
      </c>
      <c r="AA27" s="84">
        <v>135.05000000000001</v>
      </c>
      <c r="AB27" s="93">
        <v>374.18</v>
      </c>
      <c r="AC27" s="92">
        <v>0.74051999999999996</v>
      </c>
      <c r="AD27" s="93">
        <v>1.8197000000000001</v>
      </c>
      <c r="AF27" s="94">
        <v>-38</v>
      </c>
      <c r="AG27" s="84">
        <v>0.25240000000000001</v>
      </c>
      <c r="AH27" s="93">
        <v>0.15670000000000001</v>
      </c>
      <c r="AI27" s="84">
        <v>7.7099999999999998E-4</v>
      </c>
      <c r="AJ27" s="93">
        <v>0.1583</v>
      </c>
      <c r="AK27" s="84">
        <v>145</v>
      </c>
      <c r="AL27" s="93">
        <v>398.9</v>
      </c>
      <c r="AM27" s="84">
        <v>0.78600000000000003</v>
      </c>
      <c r="AN27" s="93">
        <v>1.887</v>
      </c>
      <c r="AP27" s="94">
        <v>-28</v>
      </c>
      <c r="AQ27" s="90">
        <v>1.5261</v>
      </c>
      <c r="AR27" s="105"/>
      <c r="AS27" s="92">
        <v>9.3700000000000001E-4</v>
      </c>
      <c r="AT27" s="83">
        <v>2.5191999999999999E-2</v>
      </c>
      <c r="AU27" s="84">
        <v>137.5</v>
      </c>
      <c r="AV27" s="93">
        <v>436.96</v>
      </c>
      <c r="AW27" s="92">
        <v>0.76649999999999996</v>
      </c>
      <c r="AX27" s="93">
        <v>1.988</v>
      </c>
      <c r="AZ27" s="94">
        <v>-28</v>
      </c>
      <c r="BA27" s="90">
        <v>0.13152</v>
      </c>
      <c r="BB27" s="105"/>
      <c r="BC27" s="84">
        <v>1.4808E-3</v>
      </c>
      <c r="BD27" s="112">
        <v>0.88080000000000003</v>
      </c>
      <c r="BE27" s="84">
        <v>72.599999999999994</v>
      </c>
      <c r="BF27" s="93">
        <v>1426.3</v>
      </c>
      <c r="BG27" s="92">
        <v>0.50960000000000005</v>
      </c>
      <c r="BH27" s="93">
        <v>6.0316999999999998</v>
      </c>
    </row>
    <row r="28" spans="2:60" x14ac:dyDescent="0.4">
      <c r="B28" s="114">
        <v>-47</v>
      </c>
      <c r="C28" s="101">
        <f t="shared" ref="C28:J28" si="33">(C27+C29)/2</f>
        <v>9.7299999999999998E-2</v>
      </c>
      <c r="D28" s="102">
        <f t="shared" si="33"/>
        <v>9.3799999999999994E-2</v>
      </c>
      <c r="E28" s="101">
        <f t="shared" si="33"/>
        <v>7.6439999999999993E-4</v>
      </c>
      <c r="F28" s="102">
        <f t="shared" si="33"/>
        <v>0.19672000000000001</v>
      </c>
      <c r="G28" s="103">
        <f t="shared" si="33"/>
        <v>138.67000000000002</v>
      </c>
      <c r="H28" s="104">
        <f t="shared" si="33"/>
        <v>339.69</v>
      </c>
      <c r="I28" s="103">
        <f t="shared" si="33"/>
        <v>0.75564999999999993</v>
      </c>
      <c r="J28" s="104">
        <f t="shared" si="33"/>
        <v>1.6465000000000001</v>
      </c>
      <c r="L28" s="100">
        <v>-47</v>
      </c>
      <c r="M28" s="103">
        <f t="shared" ref="M28:T28" si="34">(M27+M29)/2</f>
        <v>0.1265</v>
      </c>
      <c r="N28" s="104">
        <f t="shared" si="34"/>
        <v>0.126</v>
      </c>
      <c r="O28" s="103">
        <f t="shared" si="34"/>
        <v>7.4866999999999998E-3</v>
      </c>
      <c r="P28" s="104">
        <f t="shared" si="34"/>
        <v>0.19567000000000001</v>
      </c>
      <c r="Q28" s="103">
        <f t="shared" si="34"/>
        <v>132.63</v>
      </c>
      <c r="R28" s="104">
        <f t="shared" si="34"/>
        <v>401.685</v>
      </c>
      <c r="S28" s="103">
        <f t="shared" si="34"/>
        <v>0.7319</v>
      </c>
      <c r="T28" s="104">
        <f t="shared" si="34"/>
        <v>1.9218999999999999</v>
      </c>
      <c r="V28" s="79">
        <v>-47</v>
      </c>
      <c r="W28" s="84">
        <v>9.7051999999999999E-2</v>
      </c>
      <c r="X28" s="93">
        <v>7.0798E-2</v>
      </c>
      <c r="Y28" s="92">
        <v>7.3931687121100108E-4</v>
      </c>
      <c r="Z28" s="83">
        <v>0.29776083849452117</v>
      </c>
      <c r="AA28" s="84">
        <v>136.35</v>
      </c>
      <c r="AB28" s="93">
        <v>374.78</v>
      </c>
      <c r="AC28" s="92">
        <v>0.74626999999999999</v>
      </c>
      <c r="AD28" s="93">
        <v>1.8173999999999999</v>
      </c>
      <c r="AF28" s="94">
        <v>-37</v>
      </c>
      <c r="AG28" s="84">
        <v>0.26279999999999998</v>
      </c>
      <c r="AH28" s="93">
        <v>0.1641</v>
      </c>
      <c r="AI28" s="84">
        <v>7.7299999999999995E-5</v>
      </c>
      <c r="AJ28" s="93">
        <v>0.1515</v>
      </c>
      <c r="AK28" s="84">
        <v>146.4</v>
      </c>
      <c r="AL28" s="93">
        <v>399.4</v>
      </c>
      <c r="AM28" s="84">
        <v>0.79100000000000004</v>
      </c>
      <c r="AN28" s="93">
        <v>1.8839999999999999</v>
      </c>
      <c r="AP28" s="79">
        <v>-27</v>
      </c>
      <c r="AQ28" s="90">
        <v>1.577</v>
      </c>
      <c r="AR28" s="105"/>
      <c r="AS28" s="92">
        <v>9.4079999999999999E-4</v>
      </c>
      <c r="AT28" s="83">
        <v>2.436E-2</v>
      </c>
      <c r="AU28" s="84">
        <v>139.59</v>
      </c>
      <c r="AV28" s="93">
        <v>437.01</v>
      </c>
      <c r="AW28" s="92">
        <v>0.77480000000000004</v>
      </c>
      <c r="AX28" s="93">
        <v>1.9831000000000001</v>
      </c>
      <c r="AZ28" s="79">
        <v>-27</v>
      </c>
      <c r="BA28" s="106">
        <f>(BA27+BA29)/2</f>
        <v>0.138045</v>
      </c>
      <c r="BB28" s="108"/>
      <c r="BC28" s="106">
        <f t="shared" ref="BC28:BH28" si="35">(BC27+BC29)/2</f>
        <v>1.4835500000000001E-3</v>
      </c>
      <c r="BD28" s="113">
        <f t="shared" si="35"/>
        <v>0.84345000000000003</v>
      </c>
      <c r="BE28" s="109">
        <f t="shared" si="35"/>
        <v>77.05</v>
      </c>
      <c r="BF28" s="110">
        <f t="shared" si="35"/>
        <v>1427.75</v>
      </c>
      <c r="BG28" s="109">
        <f t="shared" si="35"/>
        <v>0.52780000000000005</v>
      </c>
      <c r="BH28" s="110">
        <f t="shared" si="35"/>
        <v>6.0152999999999999</v>
      </c>
    </row>
    <row r="29" spans="2:60" x14ac:dyDescent="0.4">
      <c r="B29" s="79">
        <v>-46</v>
      </c>
      <c r="C29" s="84">
        <v>0.10199999999999999</v>
      </c>
      <c r="D29" s="93">
        <v>9.8400000000000001E-2</v>
      </c>
      <c r="E29" s="92">
        <v>7.6619999999999998E-4</v>
      </c>
      <c r="F29" s="83">
        <v>0.18765999999999999</v>
      </c>
      <c r="G29" s="84">
        <v>139.91</v>
      </c>
      <c r="H29" s="93">
        <v>340.29</v>
      </c>
      <c r="I29" s="92">
        <v>0.7611</v>
      </c>
      <c r="J29" s="93">
        <v>1.645</v>
      </c>
      <c r="L29" s="79">
        <v>-46</v>
      </c>
      <c r="M29" s="84">
        <v>0.13300000000000001</v>
      </c>
      <c r="N29" s="93">
        <v>0.13200000000000001</v>
      </c>
      <c r="O29" s="111">
        <v>7.5041999999999999E-3</v>
      </c>
      <c r="P29" s="83">
        <v>0.18670999999999999</v>
      </c>
      <c r="Q29" s="84">
        <v>133.99</v>
      </c>
      <c r="R29" s="93">
        <v>402.2</v>
      </c>
      <c r="S29" s="92">
        <v>0.7379</v>
      </c>
      <c r="T29" s="93">
        <v>1.9189000000000001</v>
      </c>
      <c r="V29" s="94">
        <v>-46</v>
      </c>
      <c r="W29" s="84">
        <v>0.1019</v>
      </c>
      <c r="X29" s="93">
        <v>7.4608999999999995E-2</v>
      </c>
      <c r="Y29" s="92">
        <v>7.4096028452874934E-4</v>
      </c>
      <c r="Z29" s="83">
        <v>0.28344671201814059</v>
      </c>
      <c r="AA29" s="84">
        <v>137.65</v>
      </c>
      <c r="AB29" s="93">
        <v>375.38</v>
      </c>
      <c r="AC29" s="92">
        <v>0.75199000000000005</v>
      </c>
      <c r="AD29" s="93">
        <v>1.8151999999999999</v>
      </c>
      <c r="AF29" s="94">
        <v>-36</v>
      </c>
      <c r="AG29" s="84">
        <v>0.24340000000000001</v>
      </c>
      <c r="AH29" s="93">
        <v>0.17180000000000001</v>
      </c>
      <c r="AI29" s="84">
        <v>7.7499999999999997E-4</v>
      </c>
      <c r="AJ29" s="93">
        <v>0.14510000000000001</v>
      </c>
      <c r="AK29" s="84">
        <v>147.80000000000001</v>
      </c>
      <c r="AL29" s="93">
        <v>400</v>
      </c>
      <c r="AM29" s="84">
        <v>0.79700000000000004</v>
      </c>
      <c r="AN29" s="93">
        <v>1.8819999999999999</v>
      </c>
      <c r="AP29" s="94">
        <v>-26</v>
      </c>
      <c r="AQ29" s="90">
        <v>1.6293</v>
      </c>
      <c r="AR29" s="105"/>
      <c r="AS29" s="92">
        <v>9.4470000000000003E-4</v>
      </c>
      <c r="AT29" s="83">
        <v>2.3560000000000001E-2</v>
      </c>
      <c r="AU29" s="84">
        <v>141.69</v>
      </c>
      <c r="AV29" s="93">
        <v>437.04</v>
      </c>
      <c r="AW29" s="92">
        <v>0.78310000000000002</v>
      </c>
      <c r="AX29" s="93">
        <v>1.9781</v>
      </c>
      <c r="AZ29" s="94">
        <v>-26</v>
      </c>
      <c r="BA29" s="90">
        <v>0.14457</v>
      </c>
      <c r="BB29" s="105"/>
      <c r="BC29" s="84">
        <v>1.4863000000000001E-3</v>
      </c>
      <c r="BD29" s="112">
        <v>0.80610000000000004</v>
      </c>
      <c r="BE29" s="84">
        <v>81.5</v>
      </c>
      <c r="BF29" s="93">
        <v>1429.2</v>
      </c>
      <c r="BG29" s="92">
        <v>0.54600000000000004</v>
      </c>
      <c r="BH29" s="93">
        <v>5.9988999999999999</v>
      </c>
    </row>
    <row r="30" spans="2:60" x14ac:dyDescent="0.4">
      <c r="B30" s="100">
        <v>-45</v>
      </c>
      <c r="C30" s="101">
        <f t="shared" ref="C30:J30" si="36">(C29+C31)/2</f>
        <v>0.10705000000000001</v>
      </c>
      <c r="D30" s="102">
        <f t="shared" si="36"/>
        <v>0.10335</v>
      </c>
      <c r="E30" s="101">
        <f t="shared" si="36"/>
        <v>7.6800000000000002E-4</v>
      </c>
      <c r="F30" s="102">
        <f t="shared" si="36"/>
        <v>0.17954500000000001</v>
      </c>
      <c r="G30" s="103">
        <f t="shared" si="36"/>
        <v>141.14999999999998</v>
      </c>
      <c r="H30" s="104">
        <f t="shared" si="36"/>
        <v>340.89</v>
      </c>
      <c r="I30" s="103">
        <f t="shared" si="36"/>
        <v>0.76655000000000006</v>
      </c>
      <c r="J30" s="104">
        <f t="shared" si="36"/>
        <v>1.6440000000000001</v>
      </c>
      <c r="L30" s="100">
        <v>-45</v>
      </c>
      <c r="M30" s="103">
        <f t="shared" ref="M30:T30" si="37">(M29+M31)/2</f>
        <v>0.13950000000000001</v>
      </c>
      <c r="N30" s="104">
        <f t="shared" si="37"/>
        <v>0.13850000000000001</v>
      </c>
      <c r="O30" s="103">
        <f t="shared" si="37"/>
        <v>4.1290950000000002E-3</v>
      </c>
      <c r="P30" s="104">
        <f t="shared" si="37"/>
        <v>0.17868499999999998</v>
      </c>
      <c r="Q30" s="103">
        <f t="shared" si="37"/>
        <v>135.35500000000002</v>
      </c>
      <c r="R30" s="104">
        <f t="shared" si="37"/>
        <v>402.71000000000004</v>
      </c>
      <c r="S30" s="103">
        <f t="shared" si="37"/>
        <v>0.74385000000000001</v>
      </c>
      <c r="T30" s="104">
        <f t="shared" si="37"/>
        <v>1.91595</v>
      </c>
      <c r="V30" s="79">
        <v>-45</v>
      </c>
      <c r="W30" s="84">
        <v>0.10693</v>
      </c>
      <c r="X30" s="93">
        <v>7.8583E-2</v>
      </c>
      <c r="Y30" s="92">
        <v>7.4266617155588561E-4</v>
      </c>
      <c r="Z30" s="83">
        <v>0.26996382484747045</v>
      </c>
      <c r="AA30" s="84">
        <v>138.94999999999999</v>
      </c>
      <c r="AB30" s="93">
        <v>375.97</v>
      </c>
      <c r="AC30" s="92">
        <v>0.75770000000000004</v>
      </c>
      <c r="AD30" s="93">
        <v>1.8129999999999999</v>
      </c>
      <c r="AF30" s="94">
        <v>-35</v>
      </c>
      <c r="AG30" s="84">
        <v>0.28449999999999998</v>
      </c>
      <c r="AH30" s="93">
        <v>0.17979999999999999</v>
      </c>
      <c r="AI30" s="84">
        <v>7.7700000000000002E-4</v>
      </c>
      <c r="AJ30" s="93">
        <v>0.13900000000000001</v>
      </c>
      <c r="AK30" s="84">
        <v>149.19999999999999</v>
      </c>
      <c r="AL30" s="93">
        <v>400.5</v>
      </c>
      <c r="AM30" s="84">
        <v>0.80300000000000005</v>
      </c>
      <c r="AN30" s="93">
        <v>1.879</v>
      </c>
      <c r="AP30" s="79">
        <v>-25</v>
      </c>
      <c r="AQ30" s="90">
        <v>1.6827000000000001</v>
      </c>
      <c r="AR30" s="105"/>
      <c r="AS30" s="92">
        <v>9.4859999999999996E-4</v>
      </c>
      <c r="AT30" s="83">
        <v>2.2789E-2</v>
      </c>
      <c r="AU30" s="84">
        <v>143.79</v>
      </c>
      <c r="AV30" s="93">
        <v>437.06</v>
      </c>
      <c r="AW30" s="92">
        <v>0.79139999999999999</v>
      </c>
      <c r="AX30" s="93">
        <v>1.9732000000000001</v>
      </c>
      <c r="AZ30" s="79">
        <v>-25</v>
      </c>
      <c r="BA30" s="106">
        <f>(BA29+BA31)/2</f>
        <v>0.15160499999999999</v>
      </c>
      <c r="BB30" s="108"/>
      <c r="BC30" s="106">
        <f t="shared" ref="BC30:BH30" si="38">(BC29+BC31)/2</f>
        <v>1.4891500000000001E-3</v>
      </c>
      <c r="BD30" s="113">
        <f t="shared" si="38"/>
        <v>0.77255000000000007</v>
      </c>
      <c r="BE30" s="109">
        <f t="shared" si="38"/>
        <v>86</v>
      </c>
      <c r="BF30" s="110">
        <f t="shared" si="38"/>
        <v>1430.65</v>
      </c>
      <c r="BG30" s="109">
        <f t="shared" si="38"/>
        <v>0.56404999999999994</v>
      </c>
      <c r="BH30" s="110">
        <f t="shared" si="38"/>
        <v>5.9828000000000001</v>
      </c>
    </row>
    <row r="31" spans="2:60" x14ac:dyDescent="0.4">
      <c r="B31" s="94">
        <v>-44</v>
      </c>
      <c r="C31" s="84">
        <v>0.11210000000000001</v>
      </c>
      <c r="D31" s="93">
        <v>0.10829999999999999</v>
      </c>
      <c r="E31" s="92">
        <v>7.6979999999999995E-4</v>
      </c>
      <c r="F31" s="83">
        <v>0.17143</v>
      </c>
      <c r="G31" s="84">
        <v>142.38999999999999</v>
      </c>
      <c r="H31" s="93">
        <v>341.49</v>
      </c>
      <c r="I31" s="92">
        <v>0.77200000000000002</v>
      </c>
      <c r="J31" s="93">
        <v>1.643</v>
      </c>
      <c r="L31" s="79">
        <v>-44</v>
      </c>
      <c r="M31" s="84">
        <v>0.14599999999999999</v>
      </c>
      <c r="N31" s="93">
        <v>0.14499999999999999</v>
      </c>
      <c r="O31" s="111">
        <v>7.5398999999999996E-4</v>
      </c>
      <c r="P31" s="83">
        <v>0.17066000000000001</v>
      </c>
      <c r="Q31" s="84">
        <v>136.72</v>
      </c>
      <c r="R31" s="93">
        <v>403.22</v>
      </c>
      <c r="S31" s="92">
        <v>0.74980000000000002</v>
      </c>
      <c r="T31" s="93">
        <v>1.913</v>
      </c>
      <c r="V31" s="94">
        <v>-44</v>
      </c>
      <c r="W31" s="84">
        <v>0.11216</v>
      </c>
      <c r="X31" s="93">
        <v>8.2723000000000005E-2</v>
      </c>
      <c r="Y31" s="92">
        <v>7.4432452549311504E-4</v>
      </c>
      <c r="Z31" s="83">
        <v>0.25724796130990663</v>
      </c>
      <c r="AA31" s="84">
        <v>140.26</v>
      </c>
      <c r="AB31" s="93">
        <v>376.57</v>
      </c>
      <c r="AC31" s="92">
        <v>0.76339000000000001</v>
      </c>
      <c r="AD31" s="93">
        <v>1.8108</v>
      </c>
      <c r="AF31" s="94">
        <v>-34</v>
      </c>
      <c r="AG31" s="84">
        <v>0.29580000000000001</v>
      </c>
      <c r="AH31" s="93">
        <v>0.18809999999999999</v>
      </c>
      <c r="AI31" s="84">
        <v>7.7899999999999996E-4</v>
      </c>
      <c r="AJ31" s="93">
        <v>0.13320000000000001</v>
      </c>
      <c r="AK31" s="84">
        <v>150.6</v>
      </c>
      <c r="AL31" s="93">
        <v>401.1</v>
      </c>
      <c r="AM31" s="84">
        <v>0.80900000000000005</v>
      </c>
      <c r="AN31" s="93">
        <v>1.877</v>
      </c>
      <c r="AP31" s="94">
        <v>-24</v>
      </c>
      <c r="AQ31" s="90">
        <v>1.7375</v>
      </c>
      <c r="AR31" s="105"/>
      <c r="AS31" s="92">
        <v>9.5259999999999995E-4</v>
      </c>
      <c r="AT31" s="83">
        <v>2.2048000000000002E-2</v>
      </c>
      <c r="AU31" s="84">
        <v>145.91</v>
      </c>
      <c r="AV31" s="93">
        <v>437.06</v>
      </c>
      <c r="AW31" s="92">
        <v>0.79969999999999997</v>
      </c>
      <c r="AX31" s="93">
        <v>1.9682999999999999</v>
      </c>
      <c r="AZ31" s="94">
        <v>-24</v>
      </c>
      <c r="BA31" s="90">
        <v>0.15864</v>
      </c>
      <c r="BB31" s="105"/>
      <c r="BC31" s="84">
        <v>1.4920000000000001E-3</v>
      </c>
      <c r="BD31" s="112">
        <v>0.73899999999999999</v>
      </c>
      <c r="BE31" s="84">
        <v>90.5</v>
      </c>
      <c r="BF31" s="93">
        <v>1432.1</v>
      </c>
      <c r="BG31" s="92">
        <v>0.58209999999999995</v>
      </c>
      <c r="BH31" s="93">
        <v>5.9667000000000003</v>
      </c>
    </row>
    <row r="32" spans="2:60" x14ac:dyDescent="0.4">
      <c r="B32" s="100">
        <v>-43</v>
      </c>
      <c r="C32" s="101">
        <f t="shared" ref="C32:J32" si="39">(C31+C33)/2</f>
        <v>0.11755</v>
      </c>
      <c r="D32" s="102">
        <f t="shared" si="39"/>
        <v>0.11365</v>
      </c>
      <c r="E32" s="101">
        <f t="shared" si="39"/>
        <v>7.7165000000000003E-4</v>
      </c>
      <c r="F32" s="102">
        <f t="shared" si="39"/>
        <v>0.164155</v>
      </c>
      <c r="G32" s="103">
        <f t="shared" si="39"/>
        <v>143.63999999999999</v>
      </c>
      <c r="H32" s="104">
        <f t="shared" si="39"/>
        <v>342.09000000000003</v>
      </c>
      <c r="I32" s="103">
        <f t="shared" si="39"/>
        <v>0.77740000000000009</v>
      </c>
      <c r="J32" s="104">
        <f t="shared" si="39"/>
        <v>1.6415</v>
      </c>
      <c r="L32" s="100">
        <v>-43</v>
      </c>
      <c r="M32" s="103">
        <f t="shared" ref="M32:T32" si="40">(M31+M33)/2</f>
        <v>0.153</v>
      </c>
      <c r="N32" s="104">
        <f t="shared" si="40"/>
        <v>0.1525</v>
      </c>
      <c r="O32" s="103">
        <f t="shared" si="40"/>
        <v>7.5580500000000002E-4</v>
      </c>
      <c r="P32" s="104">
        <f t="shared" si="40"/>
        <v>0.16344999999999998</v>
      </c>
      <c r="Q32" s="103">
        <f t="shared" si="40"/>
        <v>138.09</v>
      </c>
      <c r="R32" s="104">
        <f t="shared" si="40"/>
        <v>403.72</v>
      </c>
      <c r="S32" s="103">
        <f t="shared" si="40"/>
        <v>0.75575000000000003</v>
      </c>
      <c r="T32" s="104">
        <f t="shared" si="40"/>
        <v>1.91015</v>
      </c>
      <c r="V32" s="79">
        <v>-43</v>
      </c>
      <c r="W32" s="84">
        <v>0.11758</v>
      </c>
      <c r="X32" s="93">
        <v>8.7035000000000001E-2</v>
      </c>
      <c r="Y32" s="92">
        <v>7.459903021260724E-4</v>
      </c>
      <c r="Z32" s="83">
        <v>0.24524831391784183</v>
      </c>
      <c r="AA32" s="84">
        <v>141.56</v>
      </c>
      <c r="AB32" s="93">
        <v>377.16</v>
      </c>
      <c r="AC32" s="92">
        <v>0.76905999999999997</v>
      </c>
      <c r="AD32" s="93">
        <v>1.8087</v>
      </c>
      <c r="AF32" s="94">
        <v>-33</v>
      </c>
      <c r="AG32" s="84">
        <v>0.3075</v>
      </c>
      <c r="AH32" s="93">
        <v>0.1966</v>
      </c>
      <c r="AI32" s="84">
        <v>7.8100000000000001E-4</v>
      </c>
      <c r="AJ32" s="93">
        <v>0.12770000000000001</v>
      </c>
      <c r="AK32" s="84">
        <v>152</v>
      </c>
      <c r="AL32" s="93">
        <v>401.6</v>
      </c>
      <c r="AM32" s="84">
        <v>0.81499999999999995</v>
      </c>
      <c r="AN32" s="93">
        <v>1.8740000000000001</v>
      </c>
      <c r="AP32" s="79">
        <v>-23</v>
      </c>
      <c r="AQ32" s="90">
        <v>1.7935000000000001</v>
      </c>
      <c r="AR32" s="105"/>
      <c r="AS32" s="92">
        <v>9.567E-4</v>
      </c>
      <c r="AT32" s="83">
        <v>2.1333999999999999E-2</v>
      </c>
      <c r="AU32" s="84">
        <v>148.03</v>
      </c>
      <c r="AV32" s="93">
        <v>437.04</v>
      </c>
      <c r="AW32" s="92">
        <v>0.80800000000000005</v>
      </c>
      <c r="AX32" s="93">
        <v>1.9633</v>
      </c>
      <c r="AZ32" s="79">
        <v>-23</v>
      </c>
      <c r="BA32" s="106">
        <f>(BA31+BA33)/2</f>
        <v>0.166215</v>
      </c>
      <c r="BB32" s="108"/>
      <c r="BC32" s="106">
        <f t="shared" ref="BC32:BH32" si="41">(BC31+BC33)/2</f>
        <v>1.49485E-3</v>
      </c>
      <c r="BD32" s="113">
        <f t="shared" si="41"/>
        <v>0.7087</v>
      </c>
      <c r="BE32" s="109">
        <f t="shared" si="41"/>
        <v>95</v>
      </c>
      <c r="BF32" s="110">
        <f t="shared" si="41"/>
        <v>1433.5</v>
      </c>
      <c r="BG32" s="109">
        <f t="shared" si="41"/>
        <v>0.60004999999999997</v>
      </c>
      <c r="BH32" s="110">
        <f t="shared" si="41"/>
        <v>5.9509000000000007</v>
      </c>
    </row>
    <row r="33" spans="2:60" x14ac:dyDescent="0.4">
      <c r="B33" s="79">
        <v>-42</v>
      </c>
      <c r="C33" s="84">
        <v>0.123</v>
      </c>
      <c r="D33" s="93">
        <v>0.11899999999999999</v>
      </c>
      <c r="E33" s="92">
        <v>7.7349999999999999E-4</v>
      </c>
      <c r="F33" s="83">
        <v>0.15687999999999999</v>
      </c>
      <c r="G33" s="84">
        <v>144.88999999999999</v>
      </c>
      <c r="H33" s="93">
        <v>342.69</v>
      </c>
      <c r="I33" s="92">
        <v>0.78280000000000005</v>
      </c>
      <c r="J33" s="93">
        <v>1.64</v>
      </c>
      <c r="L33" s="79">
        <v>-42</v>
      </c>
      <c r="M33" s="84">
        <v>0.16</v>
      </c>
      <c r="N33" s="93">
        <v>0.16</v>
      </c>
      <c r="O33" s="111">
        <v>7.5761999999999997E-4</v>
      </c>
      <c r="P33" s="83">
        <v>0.15623999999999999</v>
      </c>
      <c r="Q33" s="84">
        <v>139.46</v>
      </c>
      <c r="R33" s="93">
        <v>404.22</v>
      </c>
      <c r="S33" s="92">
        <v>0.76170000000000004</v>
      </c>
      <c r="T33" s="93">
        <v>1.9073</v>
      </c>
      <c r="V33" s="94">
        <v>-42</v>
      </c>
      <c r="W33" s="84">
        <v>0.12321</v>
      </c>
      <c r="X33" s="93">
        <v>9.1522999999999993E-2</v>
      </c>
      <c r="Y33" s="92">
        <v>7.477194556602362E-4</v>
      </c>
      <c r="Z33" s="83">
        <v>0.23391812865497075</v>
      </c>
      <c r="AA33" s="84">
        <v>142.87</v>
      </c>
      <c r="AB33" s="93">
        <v>377.76</v>
      </c>
      <c r="AC33" s="92">
        <v>0.77471999999999996</v>
      </c>
      <c r="AD33" s="93">
        <v>1.8066</v>
      </c>
      <c r="AF33" s="94">
        <v>-32</v>
      </c>
      <c r="AG33" s="84">
        <v>0.3196</v>
      </c>
      <c r="AH33" s="93">
        <v>0.20549999999999999</v>
      </c>
      <c r="AI33" s="84">
        <v>7.8299999999999995E-4</v>
      </c>
      <c r="AJ33" s="93">
        <v>0.1225</v>
      </c>
      <c r="AK33" s="84">
        <v>153.4</v>
      </c>
      <c r="AL33" s="93">
        <v>402.1</v>
      </c>
      <c r="AM33" s="84">
        <v>0.82099999999999995</v>
      </c>
      <c r="AN33" s="93">
        <v>1.8720000000000001</v>
      </c>
      <c r="AP33" s="94">
        <v>-22</v>
      </c>
      <c r="AQ33" s="90">
        <v>1.8509</v>
      </c>
      <c r="AR33" s="105"/>
      <c r="AS33" s="92">
        <v>9.6080000000000004E-4</v>
      </c>
      <c r="AT33" s="83">
        <v>2.0645E-2</v>
      </c>
      <c r="AU33" s="84">
        <v>150.16</v>
      </c>
      <c r="AV33" s="93">
        <v>437.01</v>
      </c>
      <c r="AW33" s="92">
        <v>0.81630000000000003</v>
      </c>
      <c r="AX33" s="93">
        <v>1.9583999999999999</v>
      </c>
      <c r="AZ33" s="94">
        <v>-22</v>
      </c>
      <c r="BA33" s="90">
        <v>0.17379</v>
      </c>
      <c r="BB33" s="105"/>
      <c r="BC33" s="84">
        <v>1.4977E-3</v>
      </c>
      <c r="BD33" s="112">
        <v>0.6784</v>
      </c>
      <c r="BE33" s="84">
        <v>99.5</v>
      </c>
      <c r="BF33" s="93">
        <v>1434.9</v>
      </c>
      <c r="BG33" s="92">
        <v>0.61799999999999999</v>
      </c>
      <c r="BH33" s="93">
        <v>5.9351000000000003</v>
      </c>
    </row>
    <row r="34" spans="2:60" x14ac:dyDescent="0.4">
      <c r="B34" s="114">
        <v>-41</v>
      </c>
      <c r="C34" s="101">
        <f t="shared" ref="C34:J34" si="42">(C33+C35)/2</f>
        <v>0.12884999999999999</v>
      </c>
      <c r="D34" s="102">
        <f t="shared" si="42"/>
        <v>0.12475</v>
      </c>
      <c r="E34" s="101">
        <f t="shared" si="42"/>
        <v>7.7534999999999995E-4</v>
      </c>
      <c r="F34" s="102">
        <f t="shared" si="42"/>
        <v>0.15034</v>
      </c>
      <c r="G34" s="103">
        <f t="shared" si="42"/>
        <v>146.14499999999998</v>
      </c>
      <c r="H34" s="104">
        <f t="shared" si="42"/>
        <v>343.28499999999997</v>
      </c>
      <c r="I34" s="103">
        <f t="shared" si="42"/>
        <v>0.78815000000000002</v>
      </c>
      <c r="J34" s="104">
        <f t="shared" si="42"/>
        <v>1.6389999999999998</v>
      </c>
      <c r="L34" s="100">
        <v>-41</v>
      </c>
      <c r="M34" s="103">
        <f t="shared" ref="M34:T34" si="43">(M33+M35)/2</f>
        <v>0.16799999999999998</v>
      </c>
      <c r="N34" s="104">
        <f t="shared" si="43"/>
        <v>0.16749999999999998</v>
      </c>
      <c r="O34" s="103">
        <f t="shared" si="43"/>
        <v>7.5946999999999994E-4</v>
      </c>
      <c r="P34" s="104">
        <f t="shared" si="43"/>
        <v>0.14976</v>
      </c>
      <c r="Q34" s="103">
        <f t="shared" si="43"/>
        <v>140.84</v>
      </c>
      <c r="R34" s="104">
        <f t="shared" si="43"/>
        <v>404.71500000000003</v>
      </c>
      <c r="S34" s="103">
        <f t="shared" si="43"/>
        <v>0.76760000000000006</v>
      </c>
      <c r="T34" s="104">
        <f t="shared" si="43"/>
        <v>1.9045000000000001</v>
      </c>
      <c r="V34" s="79">
        <v>-41</v>
      </c>
      <c r="W34" s="84">
        <v>0.12905</v>
      </c>
      <c r="X34" s="93">
        <v>9.6193000000000001E-2</v>
      </c>
      <c r="Y34" s="92">
        <v>7.4945664393314846E-4</v>
      </c>
      <c r="Z34" s="83">
        <v>0.22321926828723856</v>
      </c>
      <c r="AA34" s="84">
        <v>144.18</v>
      </c>
      <c r="AB34" s="93">
        <v>378.35</v>
      </c>
      <c r="AC34" s="92">
        <v>0.78036000000000005</v>
      </c>
      <c r="AD34" s="93">
        <v>1.8045</v>
      </c>
      <c r="AF34" s="94">
        <v>-31</v>
      </c>
      <c r="AG34" s="84">
        <v>0.33200000000000002</v>
      </c>
      <c r="AH34" s="93">
        <v>0.21460000000000001</v>
      </c>
      <c r="AI34" s="84">
        <v>7.85E-4</v>
      </c>
      <c r="AJ34" s="93">
        <v>0.11749999999999999</v>
      </c>
      <c r="AK34" s="84">
        <v>154.80000000000001</v>
      </c>
      <c r="AL34" s="93">
        <v>402.6</v>
      </c>
      <c r="AM34" s="84">
        <v>0.82599999999999996</v>
      </c>
      <c r="AN34" s="93">
        <v>1.869</v>
      </c>
      <c r="AP34" s="79">
        <v>-21</v>
      </c>
      <c r="AQ34" s="90">
        <v>1.9096</v>
      </c>
      <c r="AR34" s="105"/>
      <c r="AS34" s="92">
        <v>9.6500000000000004E-4</v>
      </c>
      <c r="AT34" s="83">
        <v>1.9982E-2</v>
      </c>
      <c r="AU34" s="84">
        <v>152.30000000000001</v>
      </c>
      <c r="AV34" s="93">
        <v>436.96</v>
      </c>
      <c r="AW34" s="92">
        <v>0.8246</v>
      </c>
      <c r="AX34" s="93">
        <v>1.9535</v>
      </c>
      <c r="AZ34" s="79">
        <v>-21</v>
      </c>
      <c r="BA34" s="106">
        <f>(BA33+BA35)/2</f>
        <v>0.18193500000000001</v>
      </c>
      <c r="BB34" s="108"/>
      <c r="BC34" s="106">
        <f t="shared" ref="BC34:BH34" si="44">(BC33+BC35)/2</f>
        <v>1.5005999999999999E-3</v>
      </c>
      <c r="BD34" s="113">
        <f t="shared" si="44"/>
        <v>0.65105000000000002</v>
      </c>
      <c r="BE34" s="109">
        <f t="shared" si="44"/>
        <v>104.05</v>
      </c>
      <c r="BF34" s="110">
        <f t="shared" si="44"/>
        <v>1436.3000000000002</v>
      </c>
      <c r="BG34" s="109">
        <f t="shared" si="44"/>
        <v>0.63590000000000002</v>
      </c>
      <c r="BH34" s="110">
        <f t="shared" si="44"/>
        <v>5.9196</v>
      </c>
    </row>
    <row r="35" spans="2:60" x14ac:dyDescent="0.4">
      <c r="B35" s="79">
        <v>-40</v>
      </c>
      <c r="C35" s="84">
        <v>0.13469999999999999</v>
      </c>
      <c r="D35" s="93">
        <v>0.1305</v>
      </c>
      <c r="E35" s="92">
        <v>7.7720000000000003E-4</v>
      </c>
      <c r="F35" s="83">
        <v>0.14380000000000001</v>
      </c>
      <c r="G35" s="84">
        <v>147.4</v>
      </c>
      <c r="H35" s="93">
        <v>343.88</v>
      </c>
      <c r="I35" s="92">
        <v>0.79349999999999998</v>
      </c>
      <c r="J35" s="93">
        <v>1.6379999999999999</v>
      </c>
      <c r="L35" s="79">
        <v>-40</v>
      </c>
      <c r="M35" s="84">
        <v>0.17599999999999999</v>
      </c>
      <c r="N35" s="93">
        <v>0.17499999999999999</v>
      </c>
      <c r="O35" s="111">
        <v>7.6132000000000001E-4</v>
      </c>
      <c r="P35" s="83">
        <v>0.14327999999999999</v>
      </c>
      <c r="Q35" s="84">
        <v>142.22</v>
      </c>
      <c r="R35" s="93">
        <v>405.21</v>
      </c>
      <c r="S35" s="92">
        <v>0.77349999999999997</v>
      </c>
      <c r="T35" s="93">
        <v>1.9016999999999999</v>
      </c>
      <c r="V35" s="94">
        <v>-40</v>
      </c>
      <c r="W35" s="84">
        <v>0.13511000000000001</v>
      </c>
      <c r="X35" s="93">
        <v>0.10105</v>
      </c>
      <c r="Y35" s="92">
        <v>7.5114549688274626E-4</v>
      </c>
      <c r="Z35" s="83">
        <v>0.21310602024507191</v>
      </c>
      <c r="AA35" s="84">
        <v>145.49</v>
      </c>
      <c r="AB35" s="93">
        <v>378.94</v>
      </c>
      <c r="AC35" s="92">
        <v>0.78598000000000001</v>
      </c>
      <c r="AD35" s="93">
        <v>1.8025</v>
      </c>
      <c r="AF35" s="94">
        <v>-30</v>
      </c>
      <c r="AG35" s="84">
        <v>0.34470000000000001</v>
      </c>
      <c r="AH35" s="93">
        <v>0.22409999999999999</v>
      </c>
      <c r="AI35" s="84">
        <v>7.8700000000000005E-4</v>
      </c>
      <c r="AJ35" s="93">
        <v>0.1128</v>
      </c>
      <c r="AK35" s="84">
        <v>156.19999999999999</v>
      </c>
      <c r="AL35" s="93">
        <v>403.2</v>
      </c>
      <c r="AM35" s="84">
        <v>0.83199999999999996</v>
      </c>
      <c r="AN35" s="93">
        <v>1.867</v>
      </c>
      <c r="AP35" s="94">
        <v>-20</v>
      </c>
      <c r="AQ35" s="90">
        <v>1.9696</v>
      </c>
      <c r="AR35" s="105"/>
      <c r="AS35" s="92">
        <v>9.6929999999999998E-4</v>
      </c>
      <c r="AT35" s="83">
        <v>1.9342999999999999E-2</v>
      </c>
      <c r="AU35" s="84">
        <v>154.44999999999999</v>
      </c>
      <c r="AV35" s="93">
        <v>436.89</v>
      </c>
      <c r="AW35" s="92">
        <v>0.83279999999999998</v>
      </c>
      <c r="AX35" s="93">
        <v>1.9484999999999999</v>
      </c>
      <c r="AZ35" s="94">
        <v>-20</v>
      </c>
      <c r="BA35" s="90">
        <v>0.19008</v>
      </c>
      <c r="BB35" s="105"/>
      <c r="BC35" s="84">
        <v>1.5035000000000001E-3</v>
      </c>
      <c r="BD35" s="112">
        <v>0.62370000000000003</v>
      </c>
      <c r="BE35" s="84">
        <v>108.6</v>
      </c>
      <c r="BF35" s="93">
        <v>1437.7</v>
      </c>
      <c r="BG35" s="92">
        <v>0.65380000000000005</v>
      </c>
      <c r="BH35" s="93">
        <v>5.9040999999999997</v>
      </c>
    </row>
    <row r="36" spans="2:60" x14ac:dyDescent="0.4">
      <c r="B36" s="100">
        <v>-39</v>
      </c>
      <c r="C36" s="101">
        <f t="shared" ref="C36:J36" si="45">(C35+C37)/2</f>
        <v>0.14099999999999999</v>
      </c>
      <c r="D36" s="102">
        <f t="shared" si="45"/>
        <v>0.13664999999999999</v>
      </c>
      <c r="E36" s="101">
        <f t="shared" si="45"/>
        <v>7.7910000000000002E-4</v>
      </c>
      <c r="F36" s="102">
        <f t="shared" si="45"/>
        <v>0.13791500000000001</v>
      </c>
      <c r="G36" s="103">
        <f t="shared" si="45"/>
        <v>148.655</v>
      </c>
      <c r="H36" s="104">
        <f t="shared" si="45"/>
        <v>344.47</v>
      </c>
      <c r="I36" s="103">
        <f t="shared" si="45"/>
        <v>0.79885000000000006</v>
      </c>
      <c r="J36" s="104">
        <f t="shared" si="45"/>
        <v>1.637</v>
      </c>
      <c r="L36" s="100">
        <v>-39</v>
      </c>
      <c r="M36" s="103">
        <f t="shared" ref="M36:T36" si="46">(M35+M37)/2</f>
        <v>0.184</v>
      </c>
      <c r="N36" s="104">
        <f t="shared" si="46"/>
        <v>0.183</v>
      </c>
      <c r="O36" s="103">
        <f t="shared" si="46"/>
        <v>7.6320499999999998E-4</v>
      </c>
      <c r="P36" s="104">
        <f t="shared" si="46"/>
        <v>0.137435</v>
      </c>
      <c r="Q36" s="103">
        <f t="shared" si="46"/>
        <v>143.6</v>
      </c>
      <c r="R36" s="104">
        <f t="shared" si="46"/>
        <v>405.7</v>
      </c>
      <c r="S36" s="103">
        <f t="shared" si="46"/>
        <v>0.77934999999999999</v>
      </c>
      <c r="T36" s="104">
        <f t="shared" si="46"/>
        <v>1.899</v>
      </c>
      <c r="V36" s="79">
        <v>-39</v>
      </c>
      <c r="W36" s="84">
        <v>0.14138999999999999</v>
      </c>
      <c r="X36" s="93">
        <v>0.1061</v>
      </c>
      <c r="Y36" s="92">
        <v>7.5289865984038546E-4</v>
      </c>
      <c r="Z36" s="83">
        <v>0.2035416242621616</v>
      </c>
      <c r="AA36" s="84">
        <v>146.81</v>
      </c>
      <c r="AB36" s="93">
        <v>379.53</v>
      </c>
      <c r="AC36" s="92">
        <v>0.79157999999999995</v>
      </c>
      <c r="AD36" s="93">
        <v>1.8005</v>
      </c>
      <c r="AF36" s="94">
        <v>-29</v>
      </c>
      <c r="AG36" s="84">
        <v>0.3579</v>
      </c>
      <c r="AH36" s="93">
        <v>0.2339</v>
      </c>
      <c r="AI36" s="84">
        <v>7.8899999999999999E-4</v>
      </c>
      <c r="AJ36" s="93">
        <v>0.10829999999999999</v>
      </c>
      <c r="AK36" s="84">
        <v>157.6</v>
      </c>
      <c r="AL36" s="93">
        <v>403.7</v>
      </c>
      <c r="AM36" s="84">
        <v>0.83799999999999997</v>
      </c>
      <c r="AN36" s="93">
        <v>1.865</v>
      </c>
      <c r="AP36" s="79">
        <v>-19</v>
      </c>
      <c r="AQ36" s="90">
        <v>2.0310000000000001</v>
      </c>
      <c r="AR36" s="105"/>
      <c r="AS36" s="92">
        <v>9.7369999999999998E-4</v>
      </c>
      <c r="AT36" s="83">
        <v>1.8726E-2</v>
      </c>
      <c r="AU36" s="84">
        <v>156.61000000000001</v>
      </c>
      <c r="AV36" s="93">
        <v>436.81</v>
      </c>
      <c r="AW36" s="92">
        <v>0.84109999999999996</v>
      </c>
      <c r="AX36" s="93">
        <v>1.9436</v>
      </c>
      <c r="AZ36" s="79">
        <v>-19</v>
      </c>
      <c r="BA36" s="106">
        <f>(BA35+BA37)/2</f>
        <v>0.19882</v>
      </c>
      <c r="BB36" s="108"/>
      <c r="BC36" s="106">
        <f t="shared" ref="BC36:BH36" si="47">(BC35+BC37)/2</f>
        <v>1.5064000000000002E-3</v>
      </c>
      <c r="BD36" s="113">
        <f t="shared" si="47"/>
        <v>0.59899999999999998</v>
      </c>
      <c r="BE36" s="109">
        <f t="shared" si="47"/>
        <v>113.1</v>
      </c>
      <c r="BF36" s="110">
        <f t="shared" si="47"/>
        <v>1439.0500000000002</v>
      </c>
      <c r="BG36" s="109">
        <f t="shared" si="47"/>
        <v>0.67155000000000009</v>
      </c>
      <c r="BH36" s="110">
        <f t="shared" si="47"/>
        <v>5.8888499999999997</v>
      </c>
    </row>
    <row r="37" spans="2:60" x14ac:dyDescent="0.4">
      <c r="B37" s="94">
        <v>-38</v>
      </c>
      <c r="C37" s="84">
        <v>0.14729999999999999</v>
      </c>
      <c r="D37" s="93">
        <v>0.14280000000000001</v>
      </c>
      <c r="E37" s="92">
        <v>7.8100000000000001E-4</v>
      </c>
      <c r="F37" s="83">
        <v>0.13203000000000001</v>
      </c>
      <c r="G37" s="84">
        <v>149.91</v>
      </c>
      <c r="H37" s="93">
        <v>345.06</v>
      </c>
      <c r="I37" s="92">
        <v>0.80420000000000003</v>
      </c>
      <c r="J37" s="93">
        <v>1.6359999999999999</v>
      </c>
      <c r="L37" s="79">
        <v>-38</v>
      </c>
      <c r="M37" s="84">
        <v>0.192</v>
      </c>
      <c r="N37" s="93">
        <v>0.191</v>
      </c>
      <c r="O37" s="111">
        <v>7.6508999999999995E-4</v>
      </c>
      <c r="P37" s="83">
        <v>0.13159000000000001</v>
      </c>
      <c r="Q37" s="84">
        <v>144.97999999999999</v>
      </c>
      <c r="R37" s="93">
        <v>406.19</v>
      </c>
      <c r="S37" s="92">
        <v>0.78520000000000001</v>
      </c>
      <c r="T37" s="93">
        <v>1.8963000000000001</v>
      </c>
      <c r="V37" s="94">
        <v>-38</v>
      </c>
      <c r="W37" s="84">
        <v>0.14788999999999999</v>
      </c>
      <c r="X37" s="93">
        <v>0.11133999999999999</v>
      </c>
      <c r="Y37" s="92">
        <v>7.5466002565844096E-4</v>
      </c>
      <c r="Z37" s="83">
        <v>0.19449576971700866</v>
      </c>
      <c r="AA37" s="84">
        <v>148.12</v>
      </c>
      <c r="AB37" s="93">
        <v>380.11</v>
      </c>
      <c r="AC37" s="92">
        <v>0.79717000000000005</v>
      </c>
      <c r="AD37" s="93">
        <v>1.7986</v>
      </c>
      <c r="AF37" s="94">
        <v>-28</v>
      </c>
      <c r="AG37" s="84">
        <v>0.37140000000000001</v>
      </c>
      <c r="AH37" s="93">
        <v>0.24399999999999999</v>
      </c>
      <c r="AI37" s="84">
        <v>7.9100000000000004E-4</v>
      </c>
      <c r="AJ37" s="93">
        <v>0.104</v>
      </c>
      <c r="AK37" s="84">
        <v>159</v>
      </c>
      <c r="AL37" s="93">
        <v>404.2</v>
      </c>
      <c r="AM37" s="84">
        <v>0.84399999999999997</v>
      </c>
      <c r="AN37" s="93">
        <v>1.863</v>
      </c>
      <c r="AP37" s="94">
        <v>-18</v>
      </c>
      <c r="AQ37" s="90">
        <v>2.0937999999999999</v>
      </c>
      <c r="AR37" s="105"/>
      <c r="AS37" s="92">
        <v>9.7820000000000003E-4</v>
      </c>
      <c r="AT37" s="83">
        <v>1.8131000000000001E-2</v>
      </c>
      <c r="AU37" s="84">
        <v>158.77000000000001</v>
      </c>
      <c r="AV37" s="93">
        <v>436.7</v>
      </c>
      <c r="AW37" s="92">
        <v>0.84940000000000004</v>
      </c>
      <c r="AX37" s="93">
        <v>1.9386000000000001</v>
      </c>
      <c r="AZ37" s="94">
        <v>-18</v>
      </c>
      <c r="BA37" s="90">
        <v>0.20755999999999999</v>
      </c>
      <c r="BB37" s="105"/>
      <c r="BC37" s="84">
        <v>1.5093000000000001E-3</v>
      </c>
      <c r="BD37" s="112">
        <v>0.57430000000000003</v>
      </c>
      <c r="BE37" s="84">
        <v>117.6</v>
      </c>
      <c r="BF37" s="93">
        <v>1440.4</v>
      </c>
      <c r="BG37" s="92">
        <v>0.68930000000000002</v>
      </c>
      <c r="BH37" s="93">
        <v>5.8735999999999997</v>
      </c>
    </row>
    <row r="38" spans="2:60" x14ac:dyDescent="0.4">
      <c r="B38" s="100">
        <v>-37</v>
      </c>
      <c r="C38" s="101">
        <f t="shared" ref="C38:J38" si="48">(C37+C39)/2</f>
        <v>0.154</v>
      </c>
      <c r="D38" s="102">
        <f t="shared" si="48"/>
        <v>0.14940000000000001</v>
      </c>
      <c r="E38" s="101">
        <f t="shared" si="48"/>
        <v>7.8295000000000003E-4</v>
      </c>
      <c r="F38" s="102">
        <f t="shared" si="48"/>
        <v>0.12671499999999999</v>
      </c>
      <c r="G38" s="103">
        <f t="shared" si="48"/>
        <v>151.17500000000001</v>
      </c>
      <c r="H38" s="104">
        <f t="shared" si="48"/>
        <v>345.65</v>
      </c>
      <c r="I38" s="103">
        <f t="shared" si="48"/>
        <v>0.80954999999999999</v>
      </c>
      <c r="J38" s="104">
        <f t="shared" si="48"/>
        <v>1.6349999999999998</v>
      </c>
      <c r="L38" s="100">
        <v>-37</v>
      </c>
      <c r="M38" s="103">
        <f t="shared" ref="M38:T38" si="49">(M37+M39)/2</f>
        <v>0.20100000000000001</v>
      </c>
      <c r="N38" s="104">
        <f t="shared" si="49"/>
        <v>0.2</v>
      </c>
      <c r="O38" s="103">
        <f t="shared" si="49"/>
        <v>7.6700499999999997E-4</v>
      </c>
      <c r="P38" s="104">
        <f t="shared" si="49"/>
        <v>0.12631000000000001</v>
      </c>
      <c r="Q38" s="103">
        <f t="shared" si="49"/>
        <v>146.37</v>
      </c>
      <c r="R38" s="104">
        <f t="shared" si="49"/>
        <v>406.67500000000001</v>
      </c>
      <c r="S38" s="103">
        <f t="shared" si="49"/>
        <v>0.79105000000000003</v>
      </c>
      <c r="T38" s="104">
        <f t="shared" si="49"/>
        <v>1.8936500000000001</v>
      </c>
      <c r="V38" s="79">
        <v>-37</v>
      </c>
      <c r="W38" s="84">
        <v>0.15462000000000001</v>
      </c>
      <c r="X38" s="93">
        <v>0.11679</v>
      </c>
      <c r="Y38" s="92">
        <v>7.5642965204236008E-4</v>
      </c>
      <c r="Z38" s="83">
        <v>0.18592890078833854</v>
      </c>
      <c r="AA38" s="84">
        <v>149.44</v>
      </c>
      <c r="AB38" s="93">
        <v>380.7</v>
      </c>
      <c r="AC38" s="92">
        <v>0.80274999999999996</v>
      </c>
      <c r="AD38" s="93">
        <v>1.7967</v>
      </c>
      <c r="AF38" s="94">
        <v>-27</v>
      </c>
      <c r="AG38" s="84">
        <v>0.38529999999999998</v>
      </c>
      <c r="AH38" s="93">
        <v>0.2545</v>
      </c>
      <c r="AI38" s="84">
        <v>7.9299999999999998E-4</v>
      </c>
      <c r="AJ38" s="93">
        <v>9.9900000000000003E-2</v>
      </c>
      <c r="AK38" s="84">
        <v>160.5</v>
      </c>
      <c r="AL38" s="93">
        <v>404.7</v>
      </c>
      <c r="AM38" s="84">
        <v>0.84899999999999998</v>
      </c>
      <c r="AN38" s="93">
        <v>1.86</v>
      </c>
      <c r="AP38" s="79">
        <v>-17</v>
      </c>
      <c r="AQ38" s="90">
        <v>2.1581000000000001</v>
      </c>
      <c r="AR38" s="105"/>
      <c r="AS38" s="92">
        <v>9.8269999999999998E-4</v>
      </c>
      <c r="AT38" s="83">
        <v>1.7557E-2</v>
      </c>
      <c r="AU38" s="84">
        <v>160.94999999999999</v>
      </c>
      <c r="AV38" s="93">
        <v>436.58</v>
      </c>
      <c r="AW38" s="92">
        <v>0.85760000000000003</v>
      </c>
      <c r="AX38" s="93">
        <v>1.9337</v>
      </c>
      <c r="AZ38" s="79">
        <v>-17</v>
      </c>
      <c r="BA38" s="106">
        <f>(BA37+BA39)/2</f>
        <v>0.21693499999999999</v>
      </c>
      <c r="BB38" s="108"/>
      <c r="BC38" s="106">
        <f t="shared" ref="BC38:BH38" si="50">(BC37+BC39)/2</f>
        <v>1.5123000000000001E-3</v>
      </c>
      <c r="BD38" s="113">
        <f t="shared" si="50"/>
        <v>0.55190000000000006</v>
      </c>
      <c r="BE38" s="109">
        <f t="shared" si="50"/>
        <v>122.15</v>
      </c>
      <c r="BF38" s="110">
        <f t="shared" si="50"/>
        <v>1441.75</v>
      </c>
      <c r="BG38" s="109">
        <f t="shared" si="50"/>
        <v>0.70694999999999997</v>
      </c>
      <c r="BH38" s="110">
        <f t="shared" si="50"/>
        <v>5.8586499999999999</v>
      </c>
    </row>
    <row r="39" spans="2:60" x14ac:dyDescent="0.4">
      <c r="B39" s="79">
        <v>-36</v>
      </c>
      <c r="C39" s="84">
        <v>0.16070000000000001</v>
      </c>
      <c r="D39" s="93">
        <v>0.156</v>
      </c>
      <c r="E39" s="92">
        <v>7.8490000000000005E-4</v>
      </c>
      <c r="F39" s="83">
        <v>0.12139999999999999</v>
      </c>
      <c r="G39" s="84">
        <v>152.44</v>
      </c>
      <c r="H39" s="93">
        <v>346.24</v>
      </c>
      <c r="I39" s="92">
        <v>0.81489999999999996</v>
      </c>
      <c r="J39" s="93">
        <v>1.6339999999999999</v>
      </c>
      <c r="L39" s="79">
        <v>-36</v>
      </c>
      <c r="M39" s="84">
        <v>0.21</v>
      </c>
      <c r="N39" s="93">
        <v>0.20899999999999999</v>
      </c>
      <c r="O39" s="111">
        <v>7.6891999999999998E-4</v>
      </c>
      <c r="P39" s="83">
        <v>0.12103</v>
      </c>
      <c r="Q39" s="84">
        <v>147.76</v>
      </c>
      <c r="R39" s="93">
        <v>407.16</v>
      </c>
      <c r="S39" s="92">
        <v>0.79690000000000005</v>
      </c>
      <c r="T39" s="93">
        <v>1.891</v>
      </c>
      <c r="V39" s="94">
        <v>-36</v>
      </c>
      <c r="W39" s="84">
        <v>0.16159999999999999</v>
      </c>
      <c r="X39" s="93">
        <v>0.12245</v>
      </c>
      <c r="Y39" s="92">
        <v>7.5820759724012433E-4</v>
      </c>
      <c r="Z39" s="83">
        <v>0.17781571179629432</v>
      </c>
      <c r="AA39" s="84">
        <v>150.76</v>
      </c>
      <c r="AB39" s="93">
        <v>381.28</v>
      </c>
      <c r="AC39" s="92">
        <v>0.80830000000000002</v>
      </c>
      <c r="AD39" s="93">
        <v>1.7948</v>
      </c>
      <c r="AF39" s="94">
        <v>-26</v>
      </c>
      <c r="AG39" s="84">
        <v>0.4</v>
      </c>
      <c r="AH39" s="93">
        <v>0.26529999999999998</v>
      </c>
      <c r="AI39" s="84">
        <v>7.9600000000000005E-4</v>
      </c>
      <c r="AJ39" s="93">
        <v>9.6000000000000002E-2</v>
      </c>
      <c r="AK39" s="84">
        <v>161.9</v>
      </c>
      <c r="AL39" s="93">
        <v>405.2</v>
      </c>
      <c r="AM39" s="84">
        <v>0.85499999999999998</v>
      </c>
      <c r="AN39" s="93">
        <v>1.8580000000000001</v>
      </c>
      <c r="AP39" s="94">
        <v>-16</v>
      </c>
      <c r="AQ39" s="90">
        <v>2.2237</v>
      </c>
      <c r="AR39" s="105"/>
      <c r="AS39" s="92">
        <v>9.8729999999999998E-4</v>
      </c>
      <c r="AT39" s="83">
        <v>1.7002E-2</v>
      </c>
      <c r="AU39" s="84">
        <v>163.13999999999999</v>
      </c>
      <c r="AV39" s="93">
        <v>4366.4399999999996</v>
      </c>
      <c r="AW39" s="92">
        <v>0.8659</v>
      </c>
      <c r="AX39" s="93">
        <v>1.9287000000000001</v>
      </c>
      <c r="AZ39" s="94">
        <v>-16</v>
      </c>
      <c r="BA39" s="90">
        <v>0.22631000000000001</v>
      </c>
      <c r="BB39" s="105"/>
      <c r="BC39" s="84">
        <v>1.5153E-3</v>
      </c>
      <c r="BD39" s="112">
        <v>0.52949999999999997</v>
      </c>
      <c r="BE39" s="84">
        <v>126.7</v>
      </c>
      <c r="BF39" s="93">
        <v>1443.1</v>
      </c>
      <c r="BG39" s="92">
        <v>0.72460000000000002</v>
      </c>
      <c r="BH39" s="93">
        <v>5.8437000000000001</v>
      </c>
    </row>
    <row r="40" spans="2:60" x14ac:dyDescent="0.4">
      <c r="B40" s="114">
        <v>-35</v>
      </c>
      <c r="C40" s="101">
        <f t="shared" ref="C40:J40" si="51">(C39+C41)/2</f>
        <v>0.16789999999999999</v>
      </c>
      <c r="D40" s="102">
        <f t="shared" si="51"/>
        <v>0.16309999999999999</v>
      </c>
      <c r="E40" s="101">
        <f t="shared" si="51"/>
        <v>7.8684999999999996E-4</v>
      </c>
      <c r="F40" s="102">
        <f t="shared" si="51"/>
        <v>0.116595</v>
      </c>
      <c r="G40" s="103">
        <f t="shared" si="51"/>
        <v>153.70499999999998</v>
      </c>
      <c r="H40" s="104">
        <f t="shared" si="51"/>
        <v>346.83000000000004</v>
      </c>
      <c r="I40" s="103">
        <f t="shared" si="51"/>
        <v>0.82020000000000004</v>
      </c>
      <c r="J40" s="104">
        <f t="shared" si="51"/>
        <v>1.633</v>
      </c>
      <c r="L40" s="100">
        <v>-35</v>
      </c>
      <c r="M40" s="103">
        <f t="shared" ref="M40:T40" si="52">(M39+M41)/2</f>
        <v>0.219</v>
      </c>
      <c r="N40" s="104">
        <f t="shared" si="52"/>
        <v>0.2185</v>
      </c>
      <c r="O40" s="103">
        <f t="shared" si="52"/>
        <v>7.7087499999999997E-4</v>
      </c>
      <c r="P40" s="104">
        <f t="shared" si="52"/>
        <v>0.116255</v>
      </c>
      <c r="Q40" s="103">
        <f t="shared" si="52"/>
        <v>149.155</v>
      </c>
      <c r="R40" s="104">
        <f t="shared" si="52"/>
        <v>407.64</v>
      </c>
      <c r="S40" s="103">
        <f t="shared" si="52"/>
        <v>0.80275000000000007</v>
      </c>
      <c r="T40" s="104">
        <f t="shared" si="52"/>
        <v>1.8883999999999999</v>
      </c>
      <c r="V40" s="79">
        <v>-35</v>
      </c>
      <c r="W40" s="84">
        <v>0.16880999999999999</v>
      </c>
      <c r="X40" s="93">
        <v>0.12831999999999999</v>
      </c>
      <c r="Y40" s="92">
        <v>7.6005168351447893E-4</v>
      </c>
      <c r="Z40" s="83">
        <v>0.17012878749213153</v>
      </c>
      <c r="AA40" s="84">
        <v>152.08000000000001</v>
      </c>
      <c r="AB40" s="93">
        <v>381.86</v>
      </c>
      <c r="AC40" s="92">
        <v>0.81384000000000001</v>
      </c>
      <c r="AD40" s="93">
        <v>1.7928999999999999</v>
      </c>
      <c r="AF40" s="94">
        <v>-25</v>
      </c>
      <c r="AG40" s="84">
        <v>0.4143</v>
      </c>
      <c r="AH40" s="93">
        <v>0.27650000000000002</v>
      </c>
      <c r="AI40" s="84">
        <v>7.9799999999999999E-4</v>
      </c>
      <c r="AJ40" s="93">
        <v>9.2299999999999993E-2</v>
      </c>
      <c r="AK40" s="84">
        <v>163.30000000000001</v>
      </c>
      <c r="AL40" s="93">
        <v>405.7</v>
      </c>
      <c r="AM40" s="84">
        <v>0.86099999999999999</v>
      </c>
      <c r="AN40" s="93">
        <v>1.8560000000000001</v>
      </c>
      <c r="AP40" s="79">
        <v>-15</v>
      </c>
      <c r="AQ40" s="90">
        <v>2.2907999999999999</v>
      </c>
      <c r="AR40" s="105"/>
      <c r="AS40" s="92">
        <v>9.921000000000001E-4</v>
      </c>
      <c r="AT40" s="83">
        <v>1.6466999999999999E-2</v>
      </c>
      <c r="AU40" s="84">
        <v>165.34</v>
      </c>
      <c r="AV40" s="93">
        <v>436.27</v>
      </c>
      <c r="AW40" s="92">
        <v>0.87419999999999998</v>
      </c>
      <c r="AX40" s="93">
        <v>1.9237</v>
      </c>
      <c r="AZ40" s="79">
        <v>-15</v>
      </c>
      <c r="BA40" s="106">
        <f>(BA39+BA41)/2</f>
        <v>0.23633999999999999</v>
      </c>
      <c r="BB40" s="108"/>
      <c r="BC40" s="106">
        <f t="shared" ref="BC40:BH40" si="53">(BC39+BC41)/2</f>
        <v>1.5183E-3</v>
      </c>
      <c r="BD40" s="113">
        <f t="shared" si="53"/>
        <v>0.50914999999999999</v>
      </c>
      <c r="BE40" s="109">
        <f t="shared" si="53"/>
        <v>131.25</v>
      </c>
      <c r="BF40" s="110">
        <f t="shared" si="53"/>
        <v>1444.4</v>
      </c>
      <c r="BG40" s="109">
        <f t="shared" si="53"/>
        <v>0.74215000000000009</v>
      </c>
      <c r="BH40" s="110">
        <f t="shared" si="53"/>
        <v>5.8290000000000006</v>
      </c>
    </row>
    <row r="41" spans="2:60" x14ac:dyDescent="0.4">
      <c r="B41" s="79">
        <v>-34</v>
      </c>
      <c r="C41" s="84">
        <v>0.17510000000000001</v>
      </c>
      <c r="D41" s="93">
        <v>0.17019999999999999</v>
      </c>
      <c r="E41" s="92">
        <v>7.8879999999999998E-4</v>
      </c>
      <c r="F41" s="83">
        <v>0.11179</v>
      </c>
      <c r="G41" s="84">
        <v>154.97</v>
      </c>
      <c r="H41" s="93">
        <v>347.42</v>
      </c>
      <c r="I41" s="92">
        <v>0.82550000000000001</v>
      </c>
      <c r="J41" s="93">
        <v>1.6319999999999999</v>
      </c>
      <c r="L41" s="79">
        <v>-34</v>
      </c>
      <c r="M41" s="84">
        <v>0.22800000000000001</v>
      </c>
      <c r="N41" s="93">
        <v>0.22800000000000001</v>
      </c>
      <c r="O41" s="111">
        <v>7.7282999999999996E-4</v>
      </c>
      <c r="P41" s="83">
        <v>0.11148</v>
      </c>
      <c r="Q41" s="84">
        <v>150.55000000000001</v>
      </c>
      <c r="R41" s="93">
        <v>408.12</v>
      </c>
      <c r="S41" s="92">
        <v>0.80859999999999999</v>
      </c>
      <c r="T41" s="93">
        <v>1.8857999999999999</v>
      </c>
      <c r="V41" s="94">
        <v>-34</v>
      </c>
      <c r="W41" s="84">
        <v>0.17627000000000001</v>
      </c>
      <c r="X41" s="93">
        <v>0.13441</v>
      </c>
      <c r="Y41" s="92">
        <v>7.6184671644065219E-4</v>
      </c>
      <c r="Z41" s="83">
        <v>0.16284258007783875</v>
      </c>
      <c r="AA41" s="84">
        <v>153.41</v>
      </c>
      <c r="AB41" s="93">
        <v>382.44</v>
      </c>
      <c r="AC41" s="92">
        <v>0.81937000000000004</v>
      </c>
      <c r="AD41" s="93">
        <v>1.7910999999999999</v>
      </c>
      <c r="AF41" s="94">
        <v>-24</v>
      </c>
      <c r="AG41" s="84">
        <v>0.4294</v>
      </c>
      <c r="AH41" s="93">
        <v>0.28799999999999998</v>
      </c>
      <c r="AI41" s="84">
        <v>8.0000000000000004E-4</v>
      </c>
      <c r="AJ41" s="93">
        <v>8.8800000000000004E-2</v>
      </c>
      <c r="AK41" s="84">
        <v>164.7</v>
      </c>
      <c r="AL41" s="93">
        <v>406.2</v>
      </c>
      <c r="AM41" s="84">
        <v>0.876</v>
      </c>
      <c r="AN41" s="93">
        <v>1.8540000000000001</v>
      </c>
      <c r="AP41" s="94">
        <v>-14</v>
      </c>
      <c r="AQ41" s="90">
        <v>2.3593000000000002</v>
      </c>
      <c r="AR41" s="105"/>
      <c r="AS41" s="92">
        <v>9.969E-4</v>
      </c>
      <c r="AT41" s="83">
        <v>1.5949999999999999E-2</v>
      </c>
      <c r="AU41" s="84">
        <v>167.55</v>
      </c>
      <c r="AV41" s="93">
        <v>436.09</v>
      </c>
      <c r="AW41" s="92">
        <v>0.88249999999999995</v>
      </c>
      <c r="AX41" s="93">
        <v>1.9187000000000001</v>
      </c>
      <c r="AZ41" s="94">
        <v>-14</v>
      </c>
      <c r="BA41" s="90">
        <v>0.24637000000000001</v>
      </c>
      <c r="BB41" s="105"/>
      <c r="BC41" s="84">
        <v>1.5213E-3</v>
      </c>
      <c r="BD41" s="112">
        <v>0.48880000000000001</v>
      </c>
      <c r="BE41" s="84">
        <v>135.80000000000001</v>
      </c>
      <c r="BF41" s="93">
        <v>1445.7</v>
      </c>
      <c r="BG41" s="92">
        <v>0.75970000000000004</v>
      </c>
      <c r="BH41" s="93">
        <v>5.8143000000000002</v>
      </c>
    </row>
    <row r="42" spans="2:60" x14ac:dyDescent="0.4">
      <c r="B42" s="100">
        <v>-33</v>
      </c>
      <c r="C42" s="101">
        <f t="shared" ref="C42:J42" si="54">(C41+C43)/2</f>
        <v>0.18280000000000002</v>
      </c>
      <c r="D42" s="102">
        <f t="shared" si="54"/>
        <v>0.17774999999999999</v>
      </c>
      <c r="E42" s="101">
        <f t="shared" si="54"/>
        <v>7.9079999999999992E-4</v>
      </c>
      <c r="F42" s="102">
        <f t="shared" si="54"/>
        <v>0.107445</v>
      </c>
      <c r="G42" s="103">
        <f t="shared" si="54"/>
        <v>156.245</v>
      </c>
      <c r="H42" s="104">
        <f t="shared" si="54"/>
        <v>348</v>
      </c>
      <c r="I42" s="103">
        <f t="shared" si="54"/>
        <v>0.83079999999999998</v>
      </c>
      <c r="J42" s="104">
        <f t="shared" si="54"/>
        <v>1.6309999999999998</v>
      </c>
      <c r="L42" s="100">
        <v>-33</v>
      </c>
      <c r="M42" s="103">
        <f t="shared" ref="M42:T42" si="55">(M41+M43)/2</f>
        <v>0.23849999999999999</v>
      </c>
      <c r="N42" s="104">
        <f t="shared" si="55"/>
        <v>0.23799999999999999</v>
      </c>
      <c r="O42" s="103">
        <f t="shared" si="55"/>
        <v>7.7481999999999996E-4</v>
      </c>
      <c r="P42" s="104">
        <f t="shared" si="55"/>
        <v>0.107155</v>
      </c>
      <c r="Q42" s="103">
        <f t="shared" si="55"/>
        <v>151.94999999999999</v>
      </c>
      <c r="R42" s="104">
        <f t="shared" si="55"/>
        <v>408.59000000000003</v>
      </c>
      <c r="S42" s="103">
        <f t="shared" si="55"/>
        <v>0.81440000000000001</v>
      </c>
      <c r="T42" s="104">
        <f t="shared" si="55"/>
        <v>1.8833</v>
      </c>
      <c r="V42" s="79">
        <v>-33</v>
      </c>
      <c r="W42" s="84">
        <v>0.18398999999999999</v>
      </c>
      <c r="X42" s="93">
        <v>0.14072000000000001</v>
      </c>
      <c r="Y42" s="92">
        <v>7.6370856881014199E-4</v>
      </c>
      <c r="Z42" s="83">
        <v>0.15592839767978545</v>
      </c>
      <c r="AA42" s="84">
        <v>154.74</v>
      </c>
      <c r="AB42" s="93">
        <v>383.02</v>
      </c>
      <c r="AC42" s="92">
        <v>0.82487999999999995</v>
      </c>
      <c r="AD42" s="93">
        <v>1.7892999999999999</v>
      </c>
      <c r="AF42" s="94">
        <v>-23</v>
      </c>
      <c r="AG42" s="84">
        <v>0.44490000000000002</v>
      </c>
      <c r="AH42" s="93">
        <v>0.3</v>
      </c>
      <c r="AI42" s="84">
        <v>8.0199999999999998E-4</v>
      </c>
      <c r="AJ42" s="93">
        <v>8.5400000000000004E-2</v>
      </c>
      <c r="AK42" s="84">
        <v>166.2</v>
      </c>
      <c r="AL42" s="93">
        <v>406.7</v>
      </c>
      <c r="AM42" s="84">
        <v>0.872</v>
      </c>
      <c r="AN42" s="93">
        <v>1.8520000000000001</v>
      </c>
      <c r="AP42" s="79">
        <v>-13</v>
      </c>
      <c r="AQ42" s="90">
        <v>2.4293999999999998</v>
      </c>
      <c r="AR42" s="105"/>
      <c r="AS42" s="92">
        <v>1.0019E-3</v>
      </c>
      <c r="AT42" s="83">
        <v>1.545E-2</v>
      </c>
      <c r="AU42" s="84">
        <v>169.78</v>
      </c>
      <c r="AV42" s="93">
        <v>435.89</v>
      </c>
      <c r="AW42" s="92">
        <v>0.89080000000000004</v>
      </c>
      <c r="AX42" s="93">
        <v>1.9137</v>
      </c>
      <c r="AZ42" s="79">
        <v>-13</v>
      </c>
      <c r="BA42" s="106">
        <f>(BA41+BA43)/2</f>
        <v>0.25708999999999999</v>
      </c>
      <c r="BB42" s="108"/>
      <c r="BC42" s="106">
        <f t="shared" ref="BC42:BH42" si="56">(BC41+BC43)/2</f>
        <v>1.5243499999999998E-3</v>
      </c>
      <c r="BD42" s="113">
        <f t="shared" si="56"/>
        <v>0.47035000000000005</v>
      </c>
      <c r="BE42" s="109">
        <f t="shared" si="56"/>
        <v>140.35000000000002</v>
      </c>
      <c r="BF42" s="110">
        <f t="shared" si="56"/>
        <v>1446.95</v>
      </c>
      <c r="BG42" s="109">
        <f t="shared" si="56"/>
        <v>0.77715000000000001</v>
      </c>
      <c r="BH42" s="110">
        <f t="shared" si="56"/>
        <v>5.7998000000000003</v>
      </c>
    </row>
    <row r="43" spans="2:60" x14ac:dyDescent="0.4">
      <c r="B43" s="94">
        <v>-32</v>
      </c>
      <c r="C43" s="84">
        <v>0.1905</v>
      </c>
      <c r="D43" s="93">
        <v>0.18529999999999999</v>
      </c>
      <c r="E43" s="92">
        <v>7.9279999999999997E-4</v>
      </c>
      <c r="F43" s="83">
        <v>0.1031</v>
      </c>
      <c r="G43" s="84">
        <v>157.52000000000001</v>
      </c>
      <c r="H43" s="93">
        <v>348.58</v>
      </c>
      <c r="I43" s="92">
        <v>0.83609999999999995</v>
      </c>
      <c r="J43" s="93">
        <v>1.63</v>
      </c>
      <c r="L43" s="79">
        <v>-32</v>
      </c>
      <c r="M43" s="84">
        <v>0.249</v>
      </c>
      <c r="N43" s="93">
        <v>0.248</v>
      </c>
      <c r="O43" s="111">
        <v>7.7680999999999996E-4</v>
      </c>
      <c r="P43" s="83">
        <v>0.10283</v>
      </c>
      <c r="Q43" s="84">
        <v>153.35</v>
      </c>
      <c r="R43" s="93">
        <v>409.06</v>
      </c>
      <c r="S43" s="92">
        <v>0.82020000000000004</v>
      </c>
      <c r="T43" s="93">
        <v>1.8808</v>
      </c>
      <c r="V43" s="94">
        <v>-32</v>
      </c>
      <c r="W43" s="84">
        <v>0.19197</v>
      </c>
      <c r="X43" s="93">
        <v>0.14727000000000001</v>
      </c>
      <c r="Y43" s="92">
        <v>7.6552093699762695E-4</v>
      </c>
      <c r="Z43" s="83">
        <v>0.14936742893844568</v>
      </c>
      <c r="AA43" s="84">
        <v>156.06</v>
      </c>
      <c r="AB43" s="93">
        <v>383.6</v>
      </c>
      <c r="AC43" s="92">
        <v>0.83038000000000001</v>
      </c>
      <c r="AD43" s="93">
        <v>1.7876000000000001</v>
      </c>
      <c r="AF43" s="94">
        <v>-22</v>
      </c>
      <c r="AG43" s="84">
        <v>0.46089999999999998</v>
      </c>
      <c r="AH43" s="93">
        <v>0.31209999999999999</v>
      </c>
      <c r="AI43" s="84">
        <v>8.0400000000000003E-4</v>
      </c>
      <c r="AJ43" s="93">
        <v>8.2199999999999995E-2</v>
      </c>
      <c r="AK43" s="84">
        <v>167.6</v>
      </c>
      <c r="AL43" s="93">
        <v>407.2</v>
      </c>
      <c r="AM43" s="84">
        <v>0.878</v>
      </c>
      <c r="AN43" s="93">
        <v>1.849</v>
      </c>
      <c r="AP43" s="94">
        <v>-12</v>
      </c>
      <c r="AQ43" s="90">
        <v>2.5009999999999999</v>
      </c>
      <c r="AR43" s="105"/>
      <c r="AS43" s="92">
        <v>1.0069E-3</v>
      </c>
      <c r="AT43" s="83">
        <v>1.4966999999999999E-2</v>
      </c>
      <c r="AU43" s="84">
        <v>172.01</v>
      </c>
      <c r="AV43" s="93">
        <v>435.66</v>
      </c>
      <c r="AW43" s="92">
        <v>0.89910000000000001</v>
      </c>
      <c r="AX43" s="93">
        <v>1.9086000000000001</v>
      </c>
      <c r="AZ43" s="94">
        <v>-12</v>
      </c>
      <c r="BA43" s="90">
        <v>0.26780999999999999</v>
      </c>
      <c r="BB43" s="105"/>
      <c r="BC43" s="84">
        <v>1.5273999999999999E-3</v>
      </c>
      <c r="BD43" s="112">
        <v>0.45190000000000002</v>
      </c>
      <c r="BE43" s="84">
        <v>144.9</v>
      </c>
      <c r="BF43" s="93">
        <v>1448.2</v>
      </c>
      <c r="BG43" s="92">
        <v>0.79459999999999997</v>
      </c>
      <c r="BH43" s="93">
        <v>5.7853000000000003</v>
      </c>
    </row>
    <row r="44" spans="2:60" x14ac:dyDescent="0.4">
      <c r="B44" s="100">
        <v>-31</v>
      </c>
      <c r="C44" s="101">
        <f t="shared" ref="C44:J44" si="57">(C43+C45)/2</f>
        <v>0.19869999999999999</v>
      </c>
      <c r="D44" s="102">
        <f t="shared" si="57"/>
        <v>0.19340000000000002</v>
      </c>
      <c r="E44" s="101">
        <f t="shared" si="57"/>
        <v>7.9484999999999994E-4</v>
      </c>
      <c r="F44" s="102">
        <f t="shared" si="57"/>
        <v>9.9152500000000005E-2</v>
      </c>
      <c r="G44" s="103">
        <f t="shared" si="57"/>
        <v>158.80000000000001</v>
      </c>
      <c r="H44" s="104">
        <f t="shared" si="57"/>
        <v>349.16499999999996</v>
      </c>
      <c r="I44" s="103">
        <f t="shared" si="57"/>
        <v>0.84135000000000004</v>
      </c>
      <c r="J44" s="104">
        <f t="shared" si="57"/>
        <v>1.629</v>
      </c>
      <c r="L44" s="100">
        <v>-31</v>
      </c>
      <c r="M44" s="103">
        <f t="shared" ref="M44:T44" si="58">(M43+M45)/2</f>
        <v>0.25950000000000001</v>
      </c>
      <c r="N44" s="104">
        <f t="shared" si="58"/>
        <v>0.25850000000000001</v>
      </c>
      <c r="O44" s="103">
        <f t="shared" si="58"/>
        <v>7.7884000000000004E-4</v>
      </c>
      <c r="P44" s="104">
        <f t="shared" si="58"/>
        <v>9.8903000000000005E-2</v>
      </c>
      <c r="Q44" s="103">
        <f t="shared" si="58"/>
        <v>154.755</v>
      </c>
      <c r="R44" s="104">
        <f t="shared" si="58"/>
        <v>409.52</v>
      </c>
      <c r="S44" s="103">
        <f t="shared" si="58"/>
        <v>0.82594999999999996</v>
      </c>
      <c r="T44" s="104">
        <f t="shared" si="58"/>
        <v>1.8782999999999999</v>
      </c>
      <c r="V44" s="79">
        <v>-31</v>
      </c>
      <c r="W44" s="84">
        <v>0.20021</v>
      </c>
      <c r="X44" s="93">
        <v>0.15404999999999999</v>
      </c>
      <c r="Y44" s="92">
        <v>7.6740081344486225E-4</v>
      </c>
      <c r="Z44" s="83">
        <v>0.14313933182559904</v>
      </c>
      <c r="AA44" s="84">
        <v>157.4</v>
      </c>
      <c r="AB44" s="93">
        <v>384.17</v>
      </c>
      <c r="AC44" s="92">
        <v>0.83586000000000005</v>
      </c>
      <c r="AD44" s="93">
        <v>1.7859</v>
      </c>
      <c r="AF44" s="94">
        <v>-21</v>
      </c>
      <c r="AG44" s="84">
        <v>0.47720000000000001</v>
      </c>
      <c r="AH44" s="93">
        <v>0.32479999999999998</v>
      </c>
      <c r="AI44" s="84">
        <v>8.0699999999999999E-4</v>
      </c>
      <c r="AJ44" s="93">
        <v>7.9100000000000004E-2</v>
      </c>
      <c r="AK44" s="84">
        <v>169</v>
      </c>
      <c r="AL44" s="93">
        <v>407.7</v>
      </c>
      <c r="AM44" s="84">
        <v>0.88400000000000001</v>
      </c>
      <c r="AN44" s="93">
        <v>1.847</v>
      </c>
      <c r="AP44" s="79">
        <v>-11</v>
      </c>
      <c r="AQ44" s="90">
        <v>2.5739999999999998</v>
      </c>
      <c r="AR44" s="105"/>
      <c r="AS44" s="92">
        <v>1.0120999999999999E-3</v>
      </c>
      <c r="AT44" s="83">
        <v>1.4500000000000001E-2</v>
      </c>
      <c r="AU44" s="84">
        <v>174.26</v>
      </c>
      <c r="AV44" s="93">
        <v>435.41</v>
      </c>
      <c r="AW44" s="92">
        <v>0.90739999999999998</v>
      </c>
      <c r="AX44" s="93">
        <v>1.9036</v>
      </c>
      <c r="AZ44" s="79">
        <v>-11</v>
      </c>
      <c r="BA44" s="106">
        <f>(BA43+BA45)/2</f>
        <v>0.27926000000000001</v>
      </c>
      <c r="BB44" s="108"/>
      <c r="BC44" s="106">
        <f t="shared" ref="BC44:BH44" si="59">(BC43+BC45)/2</f>
        <v>1.5305E-3</v>
      </c>
      <c r="BD44" s="113">
        <f t="shared" si="59"/>
        <v>0.43510000000000004</v>
      </c>
      <c r="BE44" s="109">
        <f t="shared" si="59"/>
        <v>149.44999999999999</v>
      </c>
      <c r="BF44" s="110">
        <f t="shared" si="59"/>
        <v>1449.45</v>
      </c>
      <c r="BG44" s="109">
        <f t="shared" si="59"/>
        <v>0.81194999999999995</v>
      </c>
      <c r="BH44" s="110">
        <f t="shared" si="59"/>
        <v>5.7711000000000006</v>
      </c>
    </row>
    <row r="45" spans="2:60" x14ac:dyDescent="0.4">
      <c r="B45" s="79">
        <v>-30</v>
      </c>
      <c r="C45" s="84">
        <v>0.2069</v>
      </c>
      <c r="D45" s="93">
        <v>0.20150000000000001</v>
      </c>
      <c r="E45" s="92">
        <v>7.9690000000000002E-4</v>
      </c>
      <c r="F45" s="83">
        <v>9.5204999999999998E-2</v>
      </c>
      <c r="G45" s="84">
        <v>160.08000000000001</v>
      </c>
      <c r="H45" s="93">
        <v>349.75</v>
      </c>
      <c r="I45" s="92">
        <v>0.84660000000000002</v>
      </c>
      <c r="J45" s="93">
        <v>1.6279999999999999</v>
      </c>
      <c r="L45" s="79">
        <v>-30</v>
      </c>
      <c r="M45" s="84">
        <v>0.27</v>
      </c>
      <c r="N45" s="93">
        <v>0.26900000000000002</v>
      </c>
      <c r="O45" s="111">
        <v>7.8087000000000002E-4</v>
      </c>
      <c r="P45" s="83">
        <v>9.4976000000000005E-2</v>
      </c>
      <c r="Q45" s="84">
        <v>156.16</v>
      </c>
      <c r="R45" s="93">
        <v>409.98</v>
      </c>
      <c r="S45" s="92">
        <v>0.83169999999999999</v>
      </c>
      <c r="T45" s="93">
        <v>1.8757999999999999</v>
      </c>
      <c r="V45" s="94">
        <v>-30</v>
      </c>
      <c r="W45" s="84">
        <v>0.20873</v>
      </c>
      <c r="X45" s="93">
        <v>0.16106999999999999</v>
      </c>
      <c r="Y45" s="92">
        <v>7.6928994538041386E-4</v>
      </c>
      <c r="Z45" s="83">
        <v>0.13722315229025442</v>
      </c>
      <c r="AA45" s="84">
        <v>158.72999999999999</v>
      </c>
      <c r="AB45" s="93">
        <v>384.74</v>
      </c>
      <c r="AC45" s="92">
        <v>0.84133000000000002</v>
      </c>
      <c r="AD45" s="93">
        <v>1.7842</v>
      </c>
      <c r="AF45" s="94">
        <v>-20</v>
      </c>
      <c r="AG45" s="84">
        <v>0.49399999999999999</v>
      </c>
      <c r="AH45" s="93">
        <v>0.33779999999999999</v>
      </c>
      <c r="AI45" s="84">
        <v>8.0900000000000004E-4</v>
      </c>
      <c r="AJ45" s="93">
        <v>7.6200000000000004E-2</v>
      </c>
      <c r="AK45" s="84">
        <v>170.5</v>
      </c>
      <c r="AL45" s="93">
        <v>408.2</v>
      </c>
      <c r="AM45" s="84">
        <v>0.88900000000000001</v>
      </c>
      <c r="AN45" s="93">
        <v>1.847</v>
      </c>
      <c r="AP45" s="94">
        <v>-10</v>
      </c>
      <c r="AQ45" s="90">
        <v>2.6486999999999998</v>
      </c>
      <c r="AR45" s="105"/>
      <c r="AS45" s="92">
        <v>1.0173999999999999E-3</v>
      </c>
      <c r="AT45" s="83">
        <v>1.4048E-2</v>
      </c>
      <c r="AU45" s="84">
        <v>176.52</v>
      </c>
      <c r="AV45" s="93">
        <v>435.14</v>
      </c>
      <c r="AW45" s="92">
        <v>0.91569999999999996</v>
      </c>
      <c r="AX45" s="93">
        <v>1.8985000000000001</v>
      </c>
      <c r="AZ45" s="94">
        <v>-10</v>
      </c>
      <c r="BA45" s="90">
        <v>0.29071000000000002</v>
      </c>
      <c r="BB45" s="105"/>
      <c r="BC45" s="84">
        <v>1.5336E-3</v>
      </c>
      <c r="BD45" s="112">
        <v>0.41830000000000001</v>
      </c>
      <c r="BE45" s="84">
        <v>154</v>
      </c>
      <c r="BF45" s="93">
        <v>1450.7</v>
      </c>
      <c r="BG45" s="92">
        <v>0.82930000000000004</v>
      </c>
      <c r="BH45" s="93">
        <v>5.7568999999999999</v>
      </c>
    </row>
    <row r="46" spans="2:60" x14ac:dyDescent="0.4">
      <c r="B46" s="114">
        <v>-29</v>
      </c>
      <c r="C46" s="101">
        <f t="shared" ref="C46:J46" si="60">(C45+C47)/2</f>
        <v>0.21565000000000001</v>
      </c>
      <c r="D46" s="102">
        <f t="shared" si="60"/>
        <v>0.21010000000000001</v>
      </c>
      <c r="E46" s="101">
        <f t="shared" si="60"/>
        <v>7.9900000000000001E-4</v>
      </c>
      <c r="F46" s="102">
        <f t="shared" si="60"/>
        <v>9.1620000000000007E-2</v>
      </c>
      <c r="G46" s="103">
        <f t="shared" si="60"/>
        <v>161.36500000000001</v>
      </c>
      <c r="H46" s="104">
        <f t="shared" si="60"/>
        <v>350.32499999999999</v>
      </c>
      <c r="I46" s="103">
        <f t="shared" si="60"/>
        <v>0.8518</v>
      </c>
      <c r="J46" s="104">
        <f t="shared" si="60"/>
        <v>1.6269999999999998</v>
      </c>
      <c r="L46" s="100">
        <v>-29</v>
      </c>
      <c r="M46" s="103">
        <f t="shared" ref="M46:T46" si="61">(M45+M47)/2</f>
        <v>0.28149999999999997</v>
      </c>
      <c r="N46" s="104">
        <f t="shared" si="61"/>
        <v>0.28049999999999997</v>
      </c>
      <c r="O46" s="103">
        <f t="shared" si="61"/>
        <v>7.8293999999999998E-4</v>
      </c>
      <c r="P46" s="104">
        <f t="shared" si="61"/>
        <v>9.1405E-2</v>
      </c>
      <c r="Q46" s="103">
        <f t="shared" si="61"/>
        <v>157.57</v>
      </c>
      <c r="R46" s="104">
        <f t="shared" si="61"/>
        <v>410.435</v>
      </c>
      <c r="S46" s="103">
        <f t="shared" si="61"/>
        <v>0.83745000000000003</v>
      </c>
      <c r="T46" s="104">
        <f t="shared" si="61"/>
        <v>1.8734</v>
      </c>
      <c r="V46" s="79">
        <v>-29</v>
      </c>
      <c r="W46" s="84">
        <v>0.21751999999999999</v>
      </c>
      <c r="X46" s="93">
        <v>0.16833999999999999</v>
      </c>
      <c r="Y46" s="92">
        <v>7.7118840132644399E-4</v>
      </c>
      <c r="Z46" s="83">
        <v>0.13160145814415625</v>
      </c>
      <c r="AA46" s="84">
        <v>160.06</v>
      </c>
      <c r="AB46" s="93">
        <v>385.31</v>
      </c>
      <c r="AC46" s="92">
        <v>0.84677999999999998</v>
      </c>
      <c r="AD46" s="93">
        <v>1.7825</v>
      </c>
      <c r="AF46" s="94">
        <v>-19</v>
      </c>
      <c r="AG46" s="84">
        <v>0.51129999999999998</v>
      </c>
      <c r="AH46" s="93">
        <v>0.3513</v>
      </c>
      <c r="AI46" s="84">
        <v>8.1099999999999998E-4</v>
      </c>
      <c r="AJ46" s="93">
        <v>7.3400000000000007E-2</v>
      </c>
      <c r="AK46" s="84">
        <v>171.9</v>
      </c>
      <c r="AL46" s="93">
        <v>408.7</v>
      </c>
      <c r="AM46" s="84">
        <v>0.89500000000000002</v>
      </c>
      <c r="AN46" s="93">
        <v>1.843</v>
      </c>
      <c r="AP46" s="79">
        <v>-9</v>
      </c>
      <c r="AQ46" s="90">
        <v>2.7248999999999999</v>
      </c>
      <c r="AR46" s="105"/>
      <c r="AS46" s="92">
        <v>1.0227999999999999E-3</v>
      </c>
      <c r="AT46" s="83">
        <v>1.3611E-2</v>
      </c>
      <c r="AU46" s="84">
        <v>178.8</v>
      </c>
      <c r="AV46" s="93">
        <v>434.84</v>
      </c>
      <c r="AW46" s="92">
        <v>0.92410000000000003</v>
      </c>
      <c r="AX46" s="93">
        <v>1.8934</v>
      </c>
      <c r="AZ46" s="79">
        <v>-9</v>
      </c>
      <c r="BA46" s="106">
        <f>(BA45+BA47)/2</f>
        <v>0.30292000000000002</v>
      </c>
      <c r="BB46" s="108"/>
      <c r="BC46" s="106">
        <f t="shared" ref="BC46:BH46" si="62">(BC45+BC47)/2</f>
        <v>1.5367499999999999E-3</v>
      </c>
      <c r="BD46" s="113">
        <f t="shared" si="62"/>
        <v>0.40300000000000002</v>
      </c>
      <c r="BE46" s="109">
        <f t="shared" si="62"/>
        <v>158.6</v>
      </c>
      <c r="BF46" s="110">
        <f t="shared" si="62"/>
        <v>1451.9</v>
      </c>
      <c r="BG46" s="109">
        <f t="shared" si="62"/>
        <v>0.84655000000000002</v>
      </c>
      <c r="BH46" s="110">
        <f t="shared" si="62"/>
        <v>5.7429000000000006</v>
      </c>
    </row>
    <row r="47" spans="2:60" x14ac:dyDescent="0.4">
      <c r="B47" s="79">
        <v>-28</v>
      </c>
      <c r="C47" s="84">
        <v>0.22439999999999999</v>
      </c>
      <c r="D47" s="93">
        <v>0.21870000000000001</v>
      </c>
      <c r="E47" s="92">
        <v>8.0110000000000001E-4</v>
      </c>
      <c r="F47" s="83">
        <v>8.8035000000000002E-2</v>
      </c>
      <c r="G47" s="84">
        <v>162.65</v>
      </c>
      <c r="H47" s="93">
        <v>350.9</v>
      </c>
      <c r="I47" s="92">
        <v>0.85699999999999998</v>
      </c>
      <c r="J47" s="93">
        <v>1.6259999999999999</v>
      </c>
      <c r="L47" s="79">
        <v>-28</v>
      </c>
      <c r="M47" s="84">
        <v>0.29299999999999998</v>
      </c>
      <c r="N47" s="93">
        <v>0.29199999999999998</v>
      </c>
      <c r="O47" s="111">
        <v>7.8501000000000005E-4</v>
      </c>
      <c r="P47" s="83">
        <v>8.7833999999999995E-2</v>
      </c>
      <c r="Q47" s="84">
        <v>158.97999999999999</v>
      </c>
      <c r="R47" s="93">
        <v>410.89</v>
      </c>
      <c r="S47" s="92">
        <v>0.84319999999999995</v>
      </c>
      <c r="T47" s="93">
        <v>1.871</v>
      </c>
      <c r="V47" s="94">
        <v>-28</v>
      </c>
      <c r="W47" s="84">
        <v>0.2266</v>
      </c>
      <c r="X47" s="93">
        <v>0.17585999999999999</v>
      </c>
      <c r="Y47" s="92">
        <v>7.7309625048318511E-4</v>
      </c>
      <c r="Z47" s="83">
        <v>0.12625465564042673</v>
      </c>
      <c r="AA47" s="84">
        <v>161.4</v>
      </c>
      <c r="AB47" s="93">
        <v>385.88</v>
      </c>
      <c r="AC47" s="92">
        <v>0.85221999999999998</v>
      </c>
      <c r="AD47" s="93">
        <v>1.7807999999999999</v>
      </c>
      <c r="AF47" s="94">
        <v>-18</v>
      </c>
      <c r="AG47" s="84">
        <v>0.52900000000000003</v>
      </c>
      <c r="AH47" s="93">
        <v>0.36509999999999998</v>
      </c>
      <c r="AI47" s="84">
        <v>8.1300000000000003E-4</v>
      </c>
      <c r="AJ47" s="93">
        <v>7.0699999999999999E-2</v>
      </c>
      <c r="AK47" s="84">
        <v>173.4</v>
      </c>
      <c r="AL47" s="93">
        <v>409.2</v>
      </c>
      <c r="AM47" s="84">
        <v>0.9</v>
      </c>
      <c r="AN47" s="93">
        <v>1.841</v>
      </c>
      <c r="AP47" s="94">
        <v>-8</v>
      </c>
      <c r="AQ47" s="90">
        <v>2.8027000000000002</v>
      </c>
      <c r="AR47" s="105"/>
      <c r="AS47" s="92">
        <v>1.0283E-3</v>
      </c>
      <c r="AT47" s="83">
        <v>1.3188E-2</v>
      </c>
      <c r="AU47" s="84">
        <v>181.09</v>
      </c>
      <c r="AV47" s="93">
        <v>434.51</v>
      </c>
      <c r="AW47" s="92">
        <v>0.93240000000000001</v>
      </c>
      <c r="AX47" s="93">
        <v>1.8882000000000001</v>
      </c>
      <c r="AZ47" s="94">
        <v>-8</v>
      </c>
      <c r="BA47" s="90">
        <v>0.31513000000000002</v>
      </c>
      <c r="BB47" s="105"/>
      <c r="BC47" s="84">
        <v>1.5399000000000001E-3</v>
      </c>
      <c r="BD47" s="112">
        <v>0.38769999999999999</v>
      </c>
      <c r="BE47" s="84">
        <v>163.19999999999999</v>
      </c>
      <c r="BF47" s="93">
        <v>1453.1</v>
      </c>
      <c r="BG47" s="92">
        <v>0.86380000000000001</v>
      </c>
      <c r="BH47" s="93">
        <v>5.7289000000000003</v>
      </c>
    </row>
    <row r="48" spans="2:60" x14ac:dyDescent="0.4">
      <c r="B48" s="100">
        <v>-27</v>
      </c>
      <c r="C48" s="101">
        <f t="shared" ref="C48:J48" si="63">(C47+C49)/2</f>
        <v>0.23369999999999999</v>
      </c>
      <c r="D48" s="102">
        <f t="shared" si="63"/>
        <v>0.22785</v>
      </c>
      <c r="E48" s="101">
        <f t="shared" si="63"/>
        <v>8.0320000000000001E-4</v>
      </c>
      <c r="F48" s="102">
        <f t="shared" si="63"/>
        <v>8.47715E-2</v>
      </c>
      <c r="G48" s="103">
        <f t="shared" si="63"/>
        <v>163.94</v>
      </c>
      <c r="H48" s="104">
        <f t="shared" si="63"/>
        <v>351.47500000000002</v>
      </c>
      <c r="I48" s="103">
        <f t="shared" si="63"/>
        <v>0.86224999999999996</v>
      </c>
      <c r="J48" s="104">
        <f t="shared" si="63"/>
        <v>1.6254999999999999</v>
      </c>
      <c r="L48" s="100">
        <v>-27</v>
      </c>
      <c r="M48" s="103">
        <f t="shared" ref="M48:T48" si="64">(M47+M49)/2</f>
        <v>0.30549999999999999</v>
      </c>
      <c r="N48" s="104">
        <f t="shared" si="64"/>
        <v>0.30449999999999999</v>
      </c>
      <c r="O48" s="103">
        <f t="shared" si="64"/>
        <v>7.8712500000000006E-4</v>
      </c>
      <c r="P48" s="104">
        <f t="shared" si="64"/>
        <v>8.4581500000000004E-2</v>
      </c>
      <c r="Q48" s="103">
        <f t="shared" si="64"/>
        <v>160.39999999999998</v>
      </c>
      <c r="R48" s="104">
        <f t="shared" si="64"/>
        <v>411.34000000000003</v>
      </c>
      <c r="S48" s="103">
        <f t="shared" si="64"/>
        <v>0.84894999999999998</v>
      </c>
      <c r="T48" s="104">
        <f t="shared" si="64"/>
        <v>1.8686500000000001</v>
      </c>
      <c r="V48" s="79">
        <v>-27</v>
      </c>
      <c r="W48" s="84">
        <v>0.23596</v>
      </c>
      <c r="X48" s="93">
        <v>0.18365000000000001</v>
      </c>
      <c r="Y48" s="92">
        <v>7.7501356273734789E-4</v>
      </c>
      <c r="Z48" s="83">
        <v>0.1211709965102753</v>
      </c>
      <c r="AA48" s="84">
        <v>162.74</v>
      </c>
      <c r="AB48" s="93">
        <v>386.45</v>
      </c>
      <c r="AC48" s="92">
        <v>0.85765000000000002</v>
      </c>
      <c r="AD48" s="93">
        <v>1.7791999999999999</v>
      </c>
      <c r="AF48" s="94">
        <v>-17</v>
      </c>
      <c r="AG48" s="84">
        <v>0.54720000000000002</v>
      </c>
      <c r="AH48" s="93">
        <v>0.37940000000000002</v>
      </c>
      <c r="AI48" s="84">
        <v>8.1599999999999999E-4</v>
      </c>
      <c r="AJ48" s="93">
        <v>6.8099999999999994E-2</v>
      </c>
      <c r="AK48" s="84">
        <v>174.8</v>
      </c>
      <c r="AL48" s="93">
        <v>409.6</v>
      </c>
      <c r="AM48" s="84">
        <v>0.90600000000000003</v>
      </c>
      <c r="AN48" s="93">
        <v>1.839</v>
      </c>
      <c r="AP48" s="79">
        <v>-7</v>
      </c>
      <c r="AQ48" s="90">
        <v>2.8820999999999999</v>
      </c>
      <c r="AR48" s="105"/>
      <c r="AS48" s="92">
        <v>1.034E-3</v>
      </c>
      <c r="AT48" s="83">
        <v>1.2777999999999999E-2</v>
      </c>
      <c r="AU48" s="84">
        <v>183.39</v>
      </c>
      <c r="AV48" s="93">
        <v>434.17</v>
      </c>
      <c r="AW48" s="92">
        <v>0.94079999999999997</v>
      </c>
      <c r="AX48" s="93">
        <v>1.883</v>
      </c>
      <c r="AZ48" s="79">
        <v>-7</v>
      </c>
      <c r="BA48" s="106">
        <f>(BA47+BA49)/2</f>
        <v>0.32813000000000003</v>
      </c>
      <c r="BB48" s="108"/>
      <c r="BC48" s="106">
        <f t="shared" ref="BC48:BH48" si="65">(BC47+BC49)/2</f>
        <v>1.5430999999999999E-3</v>
      </c>
      <c r="BD48" s="113">
        <f t="shared" si="65"/>
        <v>0.37370000000000003</v>
      </c>
      <c r="BE48" s="109">
        <f t="shared" si="65"/>
        <v>167.75</v>
      </c>
      <c r="BF48" s="110">
        <f t="shared" si="65"/>
        <v>1454.3</v>
      </c>
      <c r="BG48" s="109">
        <f t="shared" si="65"/>
        <v>0.88095000000000001</v>
      </c>
      <c r="BH48" s="110">
        <f t="shared" si="65"/>
        <v>5.7150999999999996</v>
      </c>
    </row>
    <row r="49" spans="2:60" x14ac:dyDescent="0.4">
      <c r="B49" s="94">
        <v>-26</v>
      </c>
      <c r="C49" s="84">
        <v>0.24299999999999999</v>
      </c>
      <c r="D49" s="93">
        <v>0.23699999999999999</v>
      </c>
      <c r="E49" s="92">
        <v>8.053E-4</v>
      </c>
      <c r="F49" s="83">
        <v>8.1507999999999997E-2</v>
      </c>
      <c r="G49" s="84">
        <v>165.23</v>
      </c>
      <c r="H49" s="93">
        <v>352.05</v>
      </c>
      <c r="I49" s="92">
        <v>0.86750000000000005</v>
      </c>
      <c r="J49" s="93">
        <v>1.625</v>
      </c>
      <c r="L49" s="79">
        <v>-26</v>
      </c>
      <c r="M49" s="84">
        <v>0.318</v>
      </c>
      <c r="N49" s="93">
        <v>0.317</v>
      </c>
      <c r="O49" s="111">
        <v>7.8923999999999997E-4</v>
      </c>
      <c r="P49" s="83">
        <v>8.1328999999999999E-2</v>
      </c>
      <c r="Q49" s="84">
        <v>161.82</v>
      </c>
      <c r="R49" s="93">
        <v>411.79</v>
      </c>
      <c r="S49" s="92">
        <v>0.85470000000000002</v>
      </c>
      <c r="T49" s="93">
        <v>1.8663000000000001</v>
      </c>
      <c r="V49" s="94">
        <v>-26</v>
      </c>
      <c r="W49" s="84">
        <v>0.24562999999999999</v>
      </c>
      <c r="X49" s="93">
        <v>0.19170000000000001</v>
      </c>
      <c r="Y49" s="92">
        <v>7.7694040867065499E-4</v>
      </c>
      <c r="Z49" s="83">
        <v>0.11633182489733716</v>
      </c>
      <c r="AA49" s="84">
        <v>164.09</v>
      </c>
      <c r="AB49" s="93">
        <v>387.01</v>
      </c>
      <c r="AC49" s="92">
        <v>0.86306000000000005</v>
      </c>
      <c r="AD49" s="93">
        <v>1.7776000000000001</v>
      </c>
      <c r="AF49" s="94">
        <v>-16</v>
      </c>
      <c r="AG49" s="84">
        <v>0.56579999999999997</v>
      </c>
      <c r="AH49" s="93">
        <v>0.39410000000000001</v>
      </c>
      <c r="AI49" s="84">
        <v>8.1800000000000004E-4</v>
      </c>
      <c r="AJ49" s="93">
        <v>6.5699999999999995E-2</v>
      </c>
      <c r="AK49" s="84">
        <v>176.3</v>
      </c>
      <c r="AL49" s="93">
        <v>410.1</v>
      </c>
      <c r="AM49" s="84">
        <v>0.91200000000000003</v>
      </c>
      <c r="AN49" s="93">
        <v>1.837</v>
      </c>
      <c r="AP49" s="94">
        <v>-6</v>
      </c>
      <c r="AQ49" s="90">
        <v>2.9632000000000001</v>
      </c>
      <c r="AR49" s="105"/>
      <c r="AS49" s="92">
        <v>1.0398E-3</v>
      </c>
      <c r="AT49" s="83">
        <v>1.2381E-2</v>
      </c>
      <c r="AU49" s="84">
        <v>185.71</v>
      </c>
      <c r="AV49" s="93">
        <v>433.79</v>
      </c>
      <c r="AW49" s="92">
        <v>0.94920000000000004</v>
      </c>
      <c r="AX49" s="93">
        <v>1.8777999999999999</v>
      </c>
      <c r="AZ49" s="94">
        <v>-6</v>
      </c>
      <c r="BA49" s="90">
        <v>0.34112999999999999</v>
      </c>
      <c r="BB49" s="105"/>
      <c r="BC49" s="84">
        <v>1.5463E-3</v>
      </c>
      <c r="BD49" s="112">
        <v>0.35970000000000002</v>
      </c>
      <c r="BE49" s="84">
        <v>172.3</v>
      </c>
      <c r="BF49" s="93">
        <v>1455.5</v>
      </c>
      <c r="BG49" s="92">
        <v>0.89810000000000001</v>
      </c>
      <c r="BH49" s="93">
        <v>5.7012999999999998</v>
      </c>
    </row>
    <row r="50" spans="2:60" x14ac:dyDescent="0.4">
      <c r="B50" s="100">
        <v>-25</v>
      </c>
      <c r="C50" s="101">
        <f t="shared" ref="C50:J50" si="66">(C49+C51)/2</f>
        <v>0.25285000000000002</v>
      </c>
      <c r="D50" s="102">
        <f t="shared" si="66"/>
        <v>0.24675</v>
      </c>
      <c r="E50" s="101">
        <f t="shared" si="66"/>
        <v>8.0750000000000006E-4</v>
      </c>
      <c r="F50" s="102">
        <f t="shared" si="66"/>
        <v>7.8532500000000005E-2</v>
      </c>
      <c r="G50" s="103">
        <f t="shared" si="66"/>
        <v>166.52499999999998</v>
      </c>
      <c r="H50" s="104">
        <f t="shared" si="66"/>
        <v>352.62</v>
      </c>
      <c r="I50" s="103">
        <f t="shared" si="66"/>
        <v>0.87270000000000003</v>
      </c>
      <c r="J50" s="104">
        <f t="shared" si="66"/>
        <v>1.6240000000000001</v>
      </c>
      <c r="L50" s="100">
        <v>-25</v>
      </c>
      <c r="M50" s="103">
        <f t="shared" ref="M50:T50" si="67">(M49+M51)/2</f>
        <v>0.33099999999999996</v>
      </c>
      <c r="N50" s="104">
        <f t="shared" si="67"/>
        <v>0.32950000000000002</v>
      </c>
      <c r="O50" s="103">
        <f t="shared" si="67"/>
        <v>7.9139499999999997E-4</v>
      </c>
      <c r="P50" s="104">
        <f t="shared" si="67"/>
        <v>7.8362500000000002E-2</v>
      </c>
      <c r="Q50" s="103">
        <f t="shared" si="67"/>
        <v>163.245</v>
      </c>
      <c r="R50" s="104">
        <f t="shared" si="67"/>
        <v>412.23</v>
      </c>
      <c r="S50" s="103">
        <f t="shared" si="67"/>
        <v>0.86040000000000005</v>
      </c>
      <c r="T50" s="104">
        <f t="shared" si="67"/>
        <v>1.86395</v>
      </c>
      <c r="V50" s="79">
        <v>-25</v>
      </c>
      <c r="W50" s="84">
        <v>0.25558999999999998</v>
      </c>
      <c r="X50" s="93">
        <v>0.20002</v>
      </c>
      <c r="Y50" s="92">
        <v>7.7893752921015741E-4</v>
      </c>
      <c r="Z50" s="83">
        <v>0.11172560192168035</v>
      </c>
      <c r="AA50" s="84">
        <v>165.43</v>
      </c>
      <c r="AB50" s="93">
        <v>387.57</v>
      </c>
      <c r="AC50" s="92">
        <v>0.86846000000000001</v>
      </c>
      <c r="AD50" s="93">
        <v>1.7761</v>
      </c>
      <c r="AF50" s="94">
        <v>-15</v>
      </c>
      <c r="AG50" s="84">
        <v>0.58489999999999998</v>
      </c>
      <c r="AH50" s="93">
        <v>0.40920000000000001</v>
      </c>
      <c r="AI50" s="84">
        <v>8.2100000000000001E-4</v>
      </c>
      <c r="AJ50" s="93">
        <v>6.3299999999999995E-2</v>
      </c>
      <c r="AK50" s="84">
        <v>177.7</v>
      </c>
      <c r="AL50" s="93">
        <v>410.6</v>
      </c>
      <c r="AM50" s="84">
        <v>0.91700000000000004</v>
      </c>
      <c r="AN50" s="93">
        <v>1.835</v>
      </c>
      <c r="AP50" s="79">
        <v>-5</v>
      </c>
      <c r="AQ50" s="90">
        <v>3.0459000000000001</v>
      </c>
      <c r="AR50" s="105"/>
      <c r="AS50" s="92">
        <v>1.0457999999999999E-3</v>
      </c>
      <c r="AT50" s="83">
        <v>1.1996E-2</v>
      </c>
      <c r="AU50" s="84">
        <v>188.05</v>
      </c>
      <c r="AV50" s="93">
        <v>433.38</v>
      </c>
      <c r="AW50" s="92">
        <v>0.95760000000000001</v>
      </c>
      <c r="AX50" s="93">
        <v>1.8725000000000001</v>
      </c>
      <c r="AZ50" s="79">
        <v>-5</v>
      </c>
      <c r="BA50" s="106">
        <f>(BA49+BA51)/2</f>
        <v>0.35496499999999997</v>
      </c>
      <c r="BB50" s="108"/>
      <c r="BC50" s="106">
        <f t="shared" ref="BC50:BH50" si="68">(BC49+BC51)/2</f>
        <v>1.54955E-3</v>
      </c>
      <c r="BD50" s="113">
        <f t="shared" si="68"/>
        <v>0.34689999999999999</v>
      </c>
      <c r="BE50" s="109">
        <f t="shared" si="68"/>
        <v>176.9</v>
      </c>
      <c r="BF50" s="110">
        <f t="shared" si="68"/>
        <v>1456.65</v>
      </c>
      <c r="BG50" s="109">
        <f t="shared" si="68"/>
        <v>0.91520000000000001</v>
      </c>
      <c r="BH50" s="110">
        <f t="shared" si="68"/>
        <v>5.6876999999999995</v>
      </c>
    </row>
    <row r="51" spans="2:60" x14ac:dyDescent="0.4">
      <c r="B51" s="79">
        <v>-24</v>
      </c>
      <c r="C51" s="84">
        <v>0.26269999999999999</v>
      </c>
      <c r="D51" s="93">
        <v>0.25650000000000001</v>
      </c>
      <c r="E51" s="92">
        <v>8.097E-4</v>
      </c>
      <c r="F51" s="83">
        <v>7.5556999999999999E-2</v>
      </c>
      <c r="G51" s="84">
        <v>167.82</v>
      </c>
      <c r="H51" s="93">
        <v>353.19</v>
      </c>
      <c r="I51" s="92">
        <v>0.87790000000000001</v>
      </c>
      <c r="J51" s="93">
        <v>1.623</v>
      </c>
      <c r="L51" s="79">
        <v>-24</v>
      </c>
      <c r="M51" s="84">
        <v>0.34399999999999997</v>
      </c>
      <c r="N51" s="93">
        <v>0.34200000000000003</v>
      </c>
      <c r="O51" s="111">
        <v>7.9354999999999996E-4</v>
      </c>
      <c r="P51" s="83">
        <v>7.5396000000000005E-2</v>
      </c>
      <c r="Q51" s="84">
        <v>164.67</v>
      </c>
      <c r="R51" s="93">
        <v>412.67</v>
      </c>
      <c r="S51" s="92">
        <v>0.86609999999999998</v>
      </c>
      <c r="T51" s="93">
        <v>1.8615999999999999</v>
      </c>
      <c r="V51" s="94">
        <v>-24</v>
      </c>
      <c r="W51" s="84">
        <v>0.26585999999999999</v>
      </c>
      <c r="X51" s="93">
        <v>0.20862</v>
      </c>
      <c r="Y51" s="92">
        <v>7.8088396064344848E-4</v>
      </c>
      <c r="Z51" s="83">
        <v>0.10733759821390237</v>
      </c>
      <c r="AA51" s="84">
        <v>166.78</v>
      </c>
      <c r="AB51" s="93">
        <v>388.13</v>
      </c>
      <c r="AC51" s="92">
        <v>0.87385000000000002</v>
      </c>
      <c r="AD51" s="93">
        <v>1.7745</v>
      </c>
      <c r="AF51" s="94">
        <v>-14</v>
      </c>
      <c r="AG51" s="84">
        <v>0.60460000000000003</v>
      </c>
      <c r="AH51" s="93">
        <v>0.42480000000000001</v>
      </c>
      <c r="AI51" s="84">
        <v>8.2299999999999995E-4</v>
      </c>
      <c r="AJ51" s="93">
        <v>6.1100000000000002E-2</v>
      </c>
      <c r="AK51" s="84">
        <v>179.2</v>
      </c>
      <c r="AL51" s="93">
        <v>411.1</v>
      </c>
      <c r="AM51" s="84">
        <v>0.92300000000000004</v>
      </c>
      <c r="AN51" s="93">
        <v>1.833</v>
      </c>
      <c r="AP51" s="94">
        <v>-4</v>
      </c>
      <c r="AQ51" s="90">
        <v>3.1303000000000001</v>
      </c>
      <c r="AR51" s="105"/>
      <c r="AS51" s="92">
        <v>1.0518999999999999E-3</v>
      </c>
      <c r="AT51" s="83">
        <v>1.1624000000000001E-2</v>
      </c>
      <c r="AU51" s="84">
        <v>190.4</v>
      </c>
      <c r="AV51" s="93">
        <v>432.95</v>
      </c>
      <c r="AW51" s="92">
        <v>0.96599999999999997</v>
      </c>
      <c r="AX51" s="93">
        <v>1.8672</v>
      </c>
      <c r="AZ51" s="94">
        <v>-4</v>
      </c>
      <c r="BA51" s="90">
        <v>0.36880000000000002</v>
      </c>
      <c r="BB51" s="105"/>
      <c r="BC51" s="84">
        <v>1.5528E-3</v>
      </c>
      <c r="BD51" s="112">
        <v>0.33410000000000001</v>
      </c>
      <c r="BE51" s="84">
        <v>181.5</v>
      </c>
      <c r="BF51" s="93">
        <v>1457.8</v>
      </c>
      <c r="BG51" s="92">
        <v>0.93230000000000002</v>
      </c>
      <c r="BH51" s="93">
        <v>5.6741000000000001</v>
      </c>
    </row>
    <row r="52" spans="2:60" x14ac:dyDescent="0.4">
      <c r="B52" s="114">
        <v>-23</v>
      </c>
      <c r="C52" s="101">
        <f t="shared" ref="C52:J52" si="69">(C51+C53)/2</f>
        <v>0.2732</v>
      </c>
      <c r="D52" s="102">
        <f t="shared" si="69"/>
        <v>0.26685000000000003</v>
      </c>
      <c r="E52" s="101">
        <f t="shared" si="69"/>
        <v>8.1189999999999995E-4</v>
      </c>
      <c r="F52" s="102">
        <f t="shared" si="69"/>
        <v>7.2840000000000002E-2</v>
      </c>
      <c r="G52" s="103">
        <f t="shared" si="69"/>
        <v>169.125</v>
      </c>
      <c r="H52" s="104">
        <f t="shared" si="69"/>
        <v>353.755</v>
      </c>
      <c r="I52" s="103">
        <f t="shared" si="69"/>
        <v>0.88305</v>
      </c>
      <c r="J52" s="104">
        <f t="shared" si="69"/>
        <v>1.6225000000000001</v>
      </c>
      <c r="L52" s="100">
        <v>-23</v>
      </c>
      <c r="M52" s="103">
        <f t="shared" ref="M52:T52" si="70">(M51+M53)/2</f>
        <v>0.35749999999999998</v>
      </c>
      <c r="N52" s="104">
        <f t="shared" si="70"/>
        <v>0.35599999999999998</v>
      </c>
      <c r="O52" s="103">
        <f t="shared" si="70"/>
        <v>7.9575000000000002E-4</v>
      </c>
      <c r="P52" s="104">
        <f t="shared" si="70"/>
        <v>7.2686000000000001E-2</v>
      </c>
      <c r="Q52" s="103">
        <f t="shared" si="70"/>
        <v>166.1</v>
      </c>
      <c r="R52" s="104">
        <f t="shared" si="70"/>
        <v>413.1</v>
      </c>
      <c r="S52" s="103">
        <f t="shared" si="70"/>
        <v>0.87175000000000002</v>
      </c>
      <c r="T52" s="104">
        <f t="shared" si="70"/>
        <v>1.8593500000000001</v>
      </c>
      <c r="V52" s="79">
        <v>-23</v>
      </c>
      <c r="W52" s="84">
        <v>0.27644999999999997</v>
      </c>
      <c r="X52" s="93">
        <v>0.2175</v>
      </c>
      <c r="Y52" s="92">
        <v>7.8290143270962184E-4</v>
      </c>
      <c r="Z52" s="83">
        <v>0.10315765584542858</v>
      </c>
      <c r="AA52" s="84">
        <v>168.13</v>
      </c>
      <c r="AB52" s="93">
        <v>388.69</v>
      </c>
      <c r="AC52" s="92">
        <v>0.87922</v>
      </c>
      <c r="AD52" s="93">
        <v>1.7729999999999999</v>
      </c>
      <c r="AF52" s="94">
        <v>-13</v>
      </c>
      <c r="AG52" s="84">
        <v>0.62450000000000006</v>
      </c>
      <c r="AH52" s="93">
        <v>0.44009999999999999</v>
      </c>
      <c r="AI52" s="84">
        <v>8.25E-4</v>
      </c>
      <c r="AJ52" s="93">
        <v>5.8900000000000001E-2</v>
      </c>
      <c r="AK52" s="84">
        <v>180.6</v>
      </c>
      <c r="AL52" s="93">
        <v>411.5</v>
      </c>
      <c r="AM52" s="84">
        <v>0.92800000000000005</v>
      </c>
      <c r="AN52" s="93">
        <v>1.831</v>
      </c>
      <c r="AP52" s="79">
        <v>-3</v>
      </c>
      <c r="AQ52" s="90">
        <v>3.2164000000000001</v>
      </c>
      <c r="AR52" s="105"/>
      <c r="AS52" s="92">
        <v>1.0582E-3</v>
      </c>
      <c r="AT52" s="83">
        <v>1.1261999999999999E-2</v>
      </c>
      <c r="AU52" s="84">
        <v>192.77</v>
      </c>
      <c r="AV52" s="93">
        <v>432.48</v>
      </c>
      <c r="AW52" s="92">
        <v>0.97440000000000004</v>
      </c>
      <c r="AX52" s="93">
        <v>1.8617999999999999</v>
      </c>
      <c r="AZ52" s="79">
        <v>-3</v>
      </c>
      <c r="BA52" s="106">
        <f>(BA51+BA53)/2</f>
        <v>0.38349500000000003</v>
      </c>
      <c r="BB52" s="108"/>
      <c r="BC52" s="106">
        <f t="shared" ref="BC52:BH52" si="71">(BC51+BC53)/2</f>
        <v>1.55605E-3</v>
      </c>
      <c r="BD52" s="113">
        <f t="shared" si="71"/>
        <v>0.32240000000000002</v>
      </c>
      <c r="BE52" s="109">
        <f t="shared" si="71"/>
        <v>186.15</v>
      </c>
      <c r="BF52" s="110">
        <f t="shared" si="71"/>
        <v>1458.9499999999998</v>
      </c>
      <c r="BG52" s="109">
        <f t="shared" si="71"/>
        <v>0.94924999999999993</v>
      </c>
      <c r="BH52" s="110">
        <f t="shared" si="71"/>
        <v>5.6607500000000002</v>
      </c>
    </row>
    <row r="53" spans="2:60" x14ac:dyDescent="0.4">
      <c r="B53" s="79">
        <v>-22</v>
      </c>
      <c r="C53" s="84">
        <v>0.28370000000000001</v>
      </c>
      <c r="D53" s="93">
        <v>0.2772</v>
      </c>
      <c r="E53" s="92">
        <v>8.141E-4</v>
      </c>
      <c r="F53" s="83">
        <v>7.0123000000000005E-2</v>
      </c>
      <c r="G53" s="84">
        <v>170.43</v>
      </c>
      <c r="H53" s="93">
        <v>354.32</v>
      </c>
      <c r="I53" s="92">
        <v>0.88819999999999999</v>
      </c>
      <c r="J53" s="93">
        <v>1.6220000000000001</v>
      </c>
      <c r="L53" s="79">
        <v>-22</v>
      </c>
      <c r="M53" s="84">
        <v>0.371</v>
      </c>
      <c r="N53" s="93">
        <v>0.37</v>
      </c>
      <c r="O53" s="111">
        <v>7.9794999999999996E-4</v>
      </c>
      <c r="P53" s="83">
        <v>6.9975999999999997E-2</v>
      </c>
      <c r="Q53" s="84">
        <v>167.53</v>
      </c>
      <c r="R53" s="93">
        <v>413.53</v>
      </c>
      <c r="S53" s="92">
        <v>0.87739999999999996</v>
      </c>
      <c r="T53" s="93">
        <v>1.8571</v>
      </c>
      <c r="V53" s="94">
        <v>-22</v>
      </c>
      <c r="W53" s="84">
        <v>0.28736</v>
      </c>
      <c r="X53" s="93">
        <v>0.22667999999999999</v>
      </c>
      <c r="Y53" s="92">
        <v>7.8492935635792783E-4</v>
      </c>
      <c r="Z53" s="83">
        <v>9.9176832291976588E-2</v>
      </c>
      <c r="AA53" s="84">
        <v>169.48</v>
      </c>
      <c r="AB53" s="93">
        <v>389.25</v>
      </c>
      <c r="AC53" s="92">
        <v>0.88458999999999999</v>
      </c>
      <c r="AD53" s="93">
        <v>1.7715000000000001</v>
      </c>
      <c r="AF53" s="94">
        <v>-12</v>
      </c>
      <c r="AG53" s="84">
        <v>0.64510000000000001</v>
      </c>
      <c r="AH53" s="93">
        <v>0.4572</v>
      </c>
      <c r="AI53" s="84">
        <v>8.2799999999999996E-4</v>
      </c>
      <c r="AJ53" s="93">
        <v>5.6899999999999999E-2</v>
      </c>
      <c r="AK53" s="84">
        <v>182.1</v>
      </c>
      <c r="AL53" s="93">
        <v>412</v>
      </c>
      <c r="AM53" s="84">
        <v>0.93400000000000005</v>
      </c>
      <c r="AN53" s="93">
        <v>1.829</v>
      </c>
      <c r="AP53" s="94">
        <v>-2</v>
      </c>
      <c r="AQ53" s="90">
        <v>3.3041999999999998</v>
      </c>
      <c r="AR53" s="105"/>
      <c r="AS53" s="92">
        <v>1.0647E-3</v>
      </c>
      <c r="AT53" s="83">
        <v>1.0911000000000001E-2</v>
      </c>
      <c r="AU53" s="84">
        <v>195.16</v>
      </c>
      <c r="AV53" s="93">
        <v>431.99</v>
      </c>
      <c r="AW53" s="92">
        <v>0.9829</v>
      </c>
      <c r="AX53" s="93">
        <v>1.8563000000000001</v>
      </c>
      <c r="AZ53" s="94">
        <v>-2</v>
      </c>
      <c r="BA53" s="90">
        <v>0.39818999999999999</v>
      </c>
      <c r="BB53" s="105"/>
      <c r="BC53" s="84">
        <v>1.5593E-3</v>
      </c>
      <c r="BD53" s="112">
        <v>0.31069999999999998</v>
      </c>
      <c r="BE53" s="84">
        <v>190.8</v>
      </c>
      <c r="BF53" s="93">
        <v>1460.1</v>
      </c>
      <c r="BG53" s="92">
        <v>0.96619999999999995</v>
      </c>
      <c r="BH53" s="93">
        <v>5.6474000000000002</v>
      </c>
    </row>
    <row r="54" spans="2:60" x14ac:dyDescent="0.4">
      <c r="B54" s="100">
        <v>-21</v>
      </c>
      <c r="C54" s="101">
        <f t="shared" ref="C54:J54" si="72">(C53+C55)/2</f>
        <v>0.29480000000000001</v>
      </c>
      <c r="D54" s="102">
        <f t="shared" si="72"/>
        <v>0.28815000000000002</v>
      </c>
      <c r="E54" s="101">
        <f t="shared" si="72"/>
        <v>8.1484999999999999E-4</v>
      </c>
      <c r="F54" s="102">
        <f t="shared" si="72"/>
        <v>6.7638000000000004E-2</v>
      </c>
      <c r="G54" s="103">
        <f t="shared" si="72"/>
        <v>171.74</v>
      </c>
      <c r="H54" s="104">
        <f t="shared" si="72"/>
        <v>354.88</v>
      </c>
      <c r="I54" s="103">
        <f t="shared" si="72"/>
        <v>0.89334999999999998</v>
      </c>
      <c r="J54" s="104">
        <f t="shared" si="72"/>
        <v>1.621</v>
      </c>
      <c r="L54" s="100">
        <v>-21</v>
      </c>
      <c r="M54" s="103">
        <f t="shared" ref="M54:T54" si="73">(M53+M55)/2</f>
        <v>0.38600000000000001</v>
      </c>
      <c r="N54" s="104">
        <f t="shared" si="73"/>
        <v>0.38500000000000001</v>
      </c>
      <c r="O54" s="103">
        <f t="shared" si="73"/>
        <v>8.0020000000000004E-4</v>
      </c>
      <c r="P54" s="104">
        <f t="shared" si="73"/>
        <v>6.7496E-2</v>
      </c>
      <c r="Q54" s="103">
        <f t="shared" si="73"/>
        <v>168.97</v>
      </c>
      <c r="R54" s="104">
        <f t="shared" si="73"/>
        <v>413.95499999999998</v>
      </c>
      <c r="S54" s="103">
        <f t="shared" si="73"/>
        <v>0.88219999999999998</v>
      </c>
      <c r="T54" s="104">
        <f t="shared" si="73"/>
        <v>1.8549</v>
      </c>
      <c r="V54" s="79">
        <v>-21</v>
      </c>
      <c r="W54" s="84">
        <v>0.29859999999999998</v>
      </c>
      <c r="X54" s="93">
        <v>0.23615</v>
      </c>
      <c r="Y54" s="92">
        <v>7.8696781301644764E-4</v>
      </c>
      <c r="Z54" s="83">
        <v>9.5374344301382932E-2</v>
      </c>
      <c r="AA54" s="84">
        <v>170.84</v>
      </c>
      <c r="AB54" s="93">
        <v>389.8</v>
      </c>
      <c r="AC54" s="92">
        <v>0.88993999999999995</v>
      </c>
      <c r="AD54" s="93">
        <v>1.7701</v>
      </c>
      <c r="AF54" s="94">
        <v>-11</v>
      </c>
      <c r="AG54" s="84">
        <v>0.66620000000000001</v>
      </c>
      <c r="AH54" s="93">
        <v>0.47420000000000001</v>
      </c>
      <c r="AI54" s="84">
        <v>8.3000000000000001E-4</v>
      </c>
      <c r="AJ54" s="93">
        <v>5.4899999999999997E-2</v>
      </c>
      <c r="AK54" s="84">
        <v>183.6</v>
      </c>
      <c r="AL54" s="93">
        <v>412.4</v>
      </c>
      <c r="AM54" s="84">
        <v>0.93899999999999995</v>
      </c>
      <c r="AN54" s="93">
        <v>1.8280000000000001</v>
      </c>
      <c r="AP54" s="79">
        <v>-1</v>
      </c>
      <c r="AQ54" s="90">
        <v>3.3938000000000001</v>
      </c>
      <c r="AR54" s="105"/>
      <c r="AS54" s="92">
        <v>1.0713999999999999E-3</v>
      </c>
      <c r="AT54" s="83">
        <v>1.0571000000000001E-2</v>
      </c>
      <c r="AU54" s="84">
        <v>197.57</v>
      </c>
      <c r="AV54" s="93">
        <v>431.46</v>
      </c>
      <c r="AW54" s="92">
        <v>0.99150000000000005</v>
      </c>
      <c r="AX54" s="93">
        <v>1.8509</v>
      </c>
      <c r="AZ54" s="79">
        <v>-1</v>
      </c>
      <c r="BA54" s="106">
        <f>(BA53+BA55)/2</f>
        <v>0.41378499999999996</v>
      </c>
      <c r="BB54" s="108"/>
      <c r="BC54" s="106">
        <f t="shared" ref="BC54:BH54" si="74">(BC53+BC55)/2</f>
        <v>1.5626500000000001E-3</v>
      </c>
      <c r="BD54" s="113">
        <f t="shared" si="74"/>
        <v>0.3</v>
      </c>
      <c r="BE54" s="109">
        <f t="shared" si="74"/>
        <v>195.4</v>
      </c>
      <c r="BF54" s="110">
        <f t="shared" si="74"/>
        <v>1461.15</v>
      </c>
      <c r="BG54" s="109">
        <f t="shared" si="74"/>
        <v>0.98309999999999997</v>
      </c>
      <c r="BH54" s="110">
        <f t="shared" si="74"/>
        <v>5.6341999999999999</v>
      </c>
    </row>
    <row r="55" spans="2:60" x14ac:dyDescent="0.4">
      <c r="B55" s="94">
        <v>-20</v>
      </c>
      <c r="C55" s="84">
        <v>0.30590000000000001</v>
      </c>
      <c r="D55" s="93">
        <v>0.29909999999999998</v>
      </c>
      <c r="E55" s="92">
        <v>8.1559999999999998E-4</v>
      </c>
      <c r="F55" s="83">
        <v>6.5153000000000003E-2</v>
      </c>
      <c r="G55" s="84">
        <v>173.05</v>
      </c>
      <c r="H55" s="93">
        <v>355.44</v>
      </c>
      <c r="I55" s="92">
        <v>0.89849999999999997</v>
      </c>
      <c r="J55" s="93">
        <v>1.62</v>
      </c>
      <c r="L55" s="79">
        <v>-20</v>
      </c>
      <c r="M55" s="84">
        <v>0.40100000000000002</v>
      </c>
      <c r="N55" s="93">
        <v>0.4</v>
      </c>
      <c r="O55" s="111">
        <v>8.0245000000000002E-4</v>
      </c>
      <c r="P55" s="83">
        <v>6.5016000000000004E-2</v>
      </c>
      <c r="Q55" s="84">
        <v>170.41</v>
      </c>
      <c r="R55" s="93">
        <v>414.38</v>
      </c>
      <c r="S55" s="92">
        <v>0.88700000000000001</v>
      </c>
      <c r="T55" s="93">
        <v>1.8527</v>
      </c>
      <c r="V55" s="94">
        <v>-20</v>
      </c>
      <c r="W55" s="84">
        <v>0.31017</v>
      </c>
      <c r="X55" s="93">
        <v>0.24593000000000001</v>
      </c>
      <c r="Y55" s="92">
        <v>7.8901688496133807E-4</v>
      </c>
      <c r="Z55" s="83">
        <v>9.1743119266055037E-2</v>
      </c>
      <c r="AA55" s="84">
        <v>172.2</v>
      </c>
      <c r="AB55" s="93">
        <v>390.35</v>
      </c>
      <c r="AC55" s="92">
        <v>0.89527999999999996</v>
      </c>
      <c r="AD55" s="93">
        <v>1.7685999999999999</v>
      </c>
      <c r="AF55" s="94">
        <v>-10</v>
      </c>
      <c r="AG55" s="84">
        <v>0.68769999999999998</v>
      </c>
      <c r="AH55" s="93">
        <v>0.49159999999999998</v>
      </c>
      <c r="AI55" s="84">
        <v>8.3299999999999997E-4</v>
      </c>
      <c r="AJ55" s="93">
        <v>5.2999999999999999E-2</v>
      </c>
      <c r="AK55" s="84">
        <v>185</v>
      </c>
      <c r="AL55" s="93">
        <v>412.9</v>
      </c>
      <c r="AM55" s="84">
        <v>0.94499999999999995</v>
      </c>
      <c r="AN55" s="93">
        <v>1.8260000000000001</v>
      </c>
      <c r="AP55" s="94">
        <v>0</v>
      </c>
      <c r="AQ55" s="90">
        <v>3.4851000000000001</v>
      </c>
      <c r="AR55" s="105"/>
      <c r="AS55" s="92">
        <v>1.0782000000000001E-3</v>
      </c>
      <c r="AT55" s="83">
        <v>1.0241E-2</v>
      </c>
      <c r="AU55" s="84">
        <v>200</v>
      </c>
      <c r="AV55" s="93">
        <v>430.89</v>
      </c>
      <c r="AW55" s="92">
        <v>1</v>
      </c>
      <c r="AX55" s="93">
        <v>1.8452999999999999</v>
      </c>
      <c r="AZ55" s="94">
        <v>0</v>
      </c>
      <c r="BA55" s="90">
        <v>0.42937999999999998</v>
      </c>
      <c r="BB55" s="105"/>
      <c r="BC55" s="84">
        <v>1.5659999999999999E-3</v>
      </c>
      <c r="BD55" s="112">
        <v>0.2893</v>
      </c>
      <c r="BE55" s="84">
        <v>200</v>
      </c>
      <c r="BF55" s="93">
        <v>1462.2</v>
      </c>
      <c r="BG55" s="92">
        <v>1</v>
      </c>
      <c r="BH55" s="93">
        <v>5.6210000000000004</v>
      </c>
    </row>
    <row r="56" spans="2:60" x14ac:dyDescent="0.4">
      <c r="B56" s="100">
        <v>-19</v>
      </c>
      <c r="C56" s="101">
        <f t="shared" ref="C56:J56" si="75">(C55+C57)/2</f>
        <v>0.31764999999999999</v>
      </c>
      <c r="D56" s="102">
        <f t="shared" si="75"/>
        <v>0.31069999999999998</v>
      </c>
      <c r="E56" s="101">
        <f t="shared" si="75"/>
        <v>8.1939999999999997E-4</v>
      </c>
      <c r="F56" s="102">
        <f t="shared" si="75"/>
        <v>6.2877500000000003E-2</v>
      </c>
      <c r="G56" s="103">
        <f t="shared" si="75"/>
        <v>174.36500000000001</v>
      </c>
      <c r="H56" s="104">
        <f t="shared" si="75"/>
        <v>355.995</v>
      </c>
      <c r="I56" s="103">
        <f t="shared" si="75"/>
        <v>0.90365000000000006</v>
      </c>
      <c r="J56" s="104">
        <f t="shared" si="75"/>
        <v>1.6194999999999999</v>
      </c>
      <c r="L56" s="100">
        <v>-19</v>
      </c>
      <c r="M56" s="103">
        <f t="shared" ref="M56:T56" si="76">(M55+M57)/2</f>
        <v>0.41649999999999998</v>
      </c>
      <c r="N56" s="104">
        <f t="shared" si="76"/>
        <v>0.41500000000000004</v>
      </c>
      <c r="O56" s="103">
        <f t="shared" si="76"/>
        <v>8.0475000000000002E-4</v>
      </c>
      <c r="P56" s="104">
        <f t="shared" si="76"/>
        <v>6.2744500000000009E-2</v>
      </c>
      <c r="Q56" s="103">
        <f t="shared" si="76"/>
        <v>171.85500000000002</v>
      </c>
      <c r="R56" s="104">
        <f t="shared" si="76"/>
        <v>414.78999999999996</v>
      </c>
      <c r="S56" s="103">
        <f t="shared" si="76"/>
        <v>4.9435000000000002</v>
      </c>
      <c r="T56" s="104">
        <f t="shared" si="76"/>
        <v>1.8505</v>
      </c>
      <c r="V56" s="79">
        <v>-19</v>
      </c>
      <c r="W56" s="84">
        <v>0.32207999999999998</v>
      </c>
      <c r="X56" s="93">
        <v>0.25601000000000002</v>
      </c>
      <c r="Y56" s="92">
        <v>7.9107665532790136E-4</v>
      </c>
      <c r="Z56" s="83">
        <v>8.8284629645978635E-2</v>
      </c>
      <c r="AA56" s="84">
        <v>173.56</v>
      </c>
      <c r="AB56" s="93">
        <v>390.89</v>
      </c>
      <c r="AC56" s="92">
        <v>0.90061000000000002</v>
      </c>
      <c r="AD56" s="93">
        <v>1.7672000000000001</v>
      </c>
      <c r="AF56" s="94">
        <v>-9</v>
      </c>
      <c r="AG56" s="84">
        <v>0.70979999999999999</v>
      </c>
      <c r="AH56" s="93">
        <v>0.50949999999999995</v>
      </c>
      <c r="AI56" s="84">
        <v>8.3500000000000002E-4</v>
      </c>
      <c r="AJ56" s="93">
        <v>5.1200000000000002E-2</v>
      </c>
      <c r="AK56" s="84">
        <v>186.5</v>
      </c>
      <c r="AL56" s="93">
        <v>413.3</v>
      </c>
      <c r="AM56" s="84">
        <v>0.95099999999999996</v>
      </c>
      <c r="AN56" s="93">
        <v>1.8240000000000001</v>
      </c>
      <c r="AP56" s="79">
        <v>1</v>
      </c>
      <c r="AQ56" s="90">
        <v>3.5783</v>
      </c>
      <c r="AR56" s="105"/>
      <c r="AS56" s="92">
        <v>1.0853E-3</v>
      </c>
      <c r="AT56" s="83">
        <v>9.9202000000000005E-3</v>
      </c>
      <c r="AU56" s="84">
        <v>202.45</v>
      </c>
      <c r="AV56" s="93">
        <v>430.29</v>
      </c>
      <c r="AW56" s="92">
        <v>1.0085999999999999</v>
      </c>
      <c r="AX56" s="93">
        <v>1.8396999999999999</v>
      </c>
      <c r="AZ56" s="79">
        <v>1</v>
      </c>
      <c r="BA56" s="106">
        <f>(BA55+BA57)/2</f>
        <v>0.29591999999999996</v>
      </c>
      <c r="BB56" s="108"/>
      <c r="BC56" s="106">
        <f t="shared" ref="BC56:BH56" si="77">(BC55+BC57)/2</f>
        <v>1.5693999999999999E-3</v>
      </c>
      <c r="BD56" s="113">
        <f t="shared" si="77"/>
        <v>0.27944999999999998</v>
      </c>
      <c r="BE56" s="109">
        <f t="shared" si="77"/>
        <v>204.65</v>
      </c>
      <c r="BF56" s="110">
        <f t="shared" si="77"/>
        <v>1463.3000000000002</v>
      </c>
      <c r="BG56" s="109">
        <f t="shared" si="77"/>
        <v>1.0167999999999999</v>
      </c>
      <c r="BH56" s="110">
        <f t="shared" si="77"/>
        <v>5.6080500000000004</v>
      </c>
    </row>
    <row r="57" spans="2:60" x14ac:dyDescent="0.4">
      <c r="B57" s="79">
        <v>-18</v>
      </c>
      <c r="C57" s="84">
        <v>0.32940000000000003</v>
      </c>
      <c r="D57" s="93">
        <v>0.32229999999999998</v>
      </c>
      <c r="E57" s="92">
        <v>8.2319999999999995E-4</v>
      </c>
      <c r="F57" s="83">
        <v>6.0602000000000003E-2</v>
      </c>
      <c r="G57" s="84">
        <v>175.68</v>
      </c>
      <c r="H57" s="93">
        <v>356.55</v>
      </c>
      <c r="I57" s="92">
        <v>0.90880000000000005</v>
      </c>
      <c r="J57" s="93">
        <v>1.619</v>
      </c>
      <c r="L57" s="79">
        <v>-18</v>
      </c>
      <c r="M57" s="84">
        <v>0.432</v>
      </c>
      <c r="N57" s="93">
        <v>0.43</v>
      </c>
      <c r="O57" s="111">
        <v>8.0705000000000002E-4</v>
      </c>
      <c r="P57" s="83">
        <v>6.0472999999999999E-2</v>
      </c>
      <c r="Q57" s="84">
        <v>173.3</v>
      </c>
      <c r="R57" s="93">
        <v>415.2</v>
      </c>
      <c r="S57" s="92">
        <v>9</v>
      </c>
      <c r="T57" s="93">
        <v>1.8483000000000001</v>
      </c>
      <c r="V57" s="94">
        <v>-18</v>
      </c>
      <c r="W57" s="84">
        <v>0.33433000000000002</v>
      </c>
      <c r="X57" s="93">
        <v>0.26641999999999999</v>
      </c>
      <c r="Y57" s="92">
        <v>7.9321012136114859E-4</v>
      </c>
      <c r="Z57" s="83">
        <v>8.4983428231494865E-2</v>
      </c>
      <c r="AA57" s="84">
        <v>174.92</v>
      </c>
      <c r="AB57" s="93">
        <v>391.44</v>
      </c>
      <c r="AC57" s="92">
        <v>0.90593000000000001</v>
      </c>
      <c r="AD57" s="93">
        <v>1.7658</v>
      </c>
      <c r="AF57" s="94">
        <v>-8</v>
      </c>
      <c r="AG57" s="84">
        <v>0.73240000000000005</v>
      </c>
      <c r="AH57" s="93">
        <v>0.52790000000000004</v>
      </c>
      <c r="AI57" s="84">
        <v>8.3799999999999999E-4</v>
      </c>
      <c r="AJ57" s="93">
        <v>4.9399999999999999E-2</v>
      </c>
      <c r="AK57" s="84">
        <v>188</v>
      </c>
      <c r="AL57" s="93">
        <v>413.8</v>
      </c>
      <c r="AM57" s="84">
        <v>0.95599999999999996</v>
      </c>
      <c r="AN57" s="93">
        <v>1.8220000000000001</v>
      </c>
      <c r="AP57" s="94">
        <v>2</v>
      </c>
      <c r="AQ57" s="90">
        <v>3.6732999999999998</v>
      </c>
      <c r="AR57" s="105"/>
      <c r="AS57" s="92">
        <v>1.0926E-3</v>
      </c>
      <c r="AT57" s="83">
        <v>9.6085000000000007E-3</v>
      </c>
      <c r="AU57" s="84">
        <v>204.93</v>
      </c>
      <c r="AV57" s="93">
        <v>429.65</v>
      </c>
      <c r="AW57" s="92">
        <v>1.0172000000000001</v>
      </c>
      <c r="AX57" s="93">
        <v>1.8340000000000001</v>
      </c>
      <c r="AZ57" s="94">
        <v>2</v>
      </c>
      <c r="BA57" s="90">
        <v>0.16245999999999999</v>
      </c>
      <c r="BB57" s="105"/>
      <c r="BC57" s="84">
        <v>1.5728000000000001E-3</v>
      </c>
      <c r="BD57" s="112">
        <v>0.26960000000000001</v>
      </c>
      <c r="BE57" s="84">
        <v>209.3</v>
      </c>
      <c r="BF57" s="93">
        <v>1464.4</v>
      </c>
      <c r="BG57" s="92">
        <v>1.0336000000000001</v>
      </c>
      <c r="BH57" s="93">
        <v>5.5951000000000004</v>
      </c>
    </row>
    <row r="58" spans="2:60" x14ac:dyDescent="0.4">
      <c r="B58" s="114">
        <v>-17</v>
      </c>
      <c r="C58" s="101">
        <f t="shared" ref="C58:J58" si="78">(C57+C59)/2</f>
        <v>0.34184999999999999</v>
      </c>
      <c r="D58" s="102">
        <f t="shared" si="78"/>
        <v>0.33460000000000001</v>
      </c>
      <c r="E58" s="101">
        <f t="shared" si="78"/>
        <v>8.2554999999999998E-4</v>
      </c>
      <c r="F58" s="102">
        <f t="shared" si="78"/>
        <v>5.8514499999999997E-2</v>
      </c>
      <c r="G58" s="103">
        <f t="shared" si="78"/>
        <v>177</v>
      </c>
      <c r="H58" s="104">
        <f t="shared" si="78"/>
        <v>357.1</v>
      </c>
      <c r="I58" s="103">
        <f t="shared" si="78"/>
        <v>0.91395000000000004</v>
      </c>
      <c r="J58" s="104">
        <f t="shared" si="78"/>
        <v>1.6185</v>
      </c>
      <c r="L58" s="100">
        <v>-17</v>
      </c>
      <c r="M58" s="103">
        <f t="shared" ref="M58:T58" si="79">(M57+M59)/2</f>
        <v>0.44800000000000001</v>
      </c>
      <c r="N58" s="104">
        <f t="shared" si="79"/>
        <v>0.44650000000000001</v>
      </c>
      <c r="O58" s="103">
        <f t="shared" si="79"/>
        <v>8.0939500000000008E-4</v>
      </c>
      <c r="P58" s="104">
        <f t="shared" si="79"/>
        <v>5.8388499999999996E-2</v>
      </c>
      <c r="Q58" s="103">
        <f t="shared" si="79"/>
        <v>174.75</v>
      </c>
      <c r="R58" s="104">
        <f t="shared" si="79"/>
        <v>415.60500000000002</v>
      </c>
      <c r="S58" s="103">
        <f t="shared" si="79"/>
        <v>4.9556500000000003</v>
      </c>
      <c r="T58" s="104">
        <f t="shared" si="79"/>
        <v>1.8461500000000002</v>
      </c>
      <c r="V58" s="79">
        <v>-17</v>
      </c>
      <c r="W58" s="84">
        <v>0.34694000000000003</v>
      </c>
      <c r="X58" s="93">
        <v>0.27715000000000001</v>
      </c>
      <c r="Y58" s="92">
        <v>7.9529187211706688E-4</v>
      </c>
      <c r="Z58" s="83">
        <v>8.1826364454627279E-2</v>
      </c>
      <c r="AA58" s="84">
        <v>176.29</v>
      </c>
      <c r="AB58" s="93">
        <v>391.98</v>
      </c>
      <c r="AC58" s="92">
        <v>0.91122999999999998</v>
      </c>
      <c r="AD58" s="93">
        <v>1.7644</v>
      </c>
      <c r="AF58" s="94">
        <v>-7</v>
      </c>
      <c r="AG58" s="84">
        <v>0.75560000000000005</v>
      </c>
      <c r="AH58" s="93">
        <v>0.54679999999999995</v>
      </c>
      <c r="AI58" s="84">
        <v>8.4099999999999995E-4</v>
      </c>
      <c r="AJ58" s="93">
        <v>4.7699999999999999E-2</v>
      </c>
      <c r="AK58" s="84">
        <v>189.5</v>
      </c>
      <c r="AL58" s="93">
        <v>414.2</v>
      </c>
      <c r="AM58" s="84">
        <v>0.96199999999999997</v>
      </c>
      <c r="AN58" s="93">
        <v>1.82</v>
      </c>
      <c r="AP58" s="79">
        <v>3</v>
      </c>
      <c r="AQ58" s="90">
        <v>3.7700999999999998</v>
      </c>
      <c r="AR58" s="105"/>
      <c r="AS58" s="92">
        <v>1.1002E-3</v>
      </c>
      <c r="AT58" s="83">
        <v>9.3056000000000007E-3</v>
      </c>
      <c r="AU58" s="84">
        <v>207.43</v>
      </c>
      <c r="AV58" s="93">
        <v>428.97</v>
      </c>
      <c r="AW58" s="92">
        <v>1.0259</v>
      </c>
      <c r="AX58" s="93">
        <v>1.8282</v>
      </c>
      <c r="AZ58" s="79">
        <v>3</v>
      </c>
      <c r="BA58" s="106">
        <f>(BA57+BA59)/2</f>
        <v>0.32996999999999999</v>
      </c>
      <c r="BB58" s="108"/>
      <c r="BC58" s="106">
        <f t="shared" ref="BC58:BH58" si="80">(BC57+BC59)/2</f>
        <v>1.5762E-3</v>
      </c>
      <c r="BD58" s="113">
        <f t="shared" si="80"/>
        <v>0.26055</v>
      </c>
      <c r="BE58" s="109">
        <f t="shared" si="80"/>
        <v>213.95</v>
      </c>
      <c r="BF58" s="110">
        <f t="shared" si="80"/>
        <v>1465.4</v>
      </c>
      <c r="BG58" s="109">
        <f t="shared" si="80"/>
        <v>1.0503</v>
      </c>
      <c r="BH58" s="110">
        <f t="shared" si="80"/>
        <v>5.5823</v>
      </c>
    </row>
    <row r="59" spans="2:60" x14ac:dyDescent="0.4">
      <c r="B59" s="79">
        <v>-16</v>
      </c>
      <c r="C59" s="84">
        <v>0.3543</v>
      </c>
      <c r="D59" s="93">
        <v>0.34689999999999999</v>
      </c>
      <c r="E59" s="92">
        <v>8.2790000000000001E-4</v>
      </c>
      <c r="F59" s="83">
        <v>5.6426999999999998E-2</v>
      </c>
      <c r="G59" s="84">
        <v>178.32</v>
      </c>
      <c r="H59" s="93">
        <v>357.65</v>
      </c>
      <c r="I59" s="92">
        <v>0.91910000000000003</v>
      </c>
      <c r="J59" s="93">
        <v>1.6180000000000001</v>
      </c>
      <c r="L59" s="79">
        <v>-16</v>
      </c>
      <c r="M59" s="84">
        <v>0.46400000000000002</v>
      </c>
      <c r="N59" s="93">
        <v>0.46300000000000002</v>
      </c>
      <c r="O59" s="111">
        <v>8.1174000000000003E-4</v>
      </c>
      <c r="P59" s="83">
        <v>5.6304E-2</v>
      </c>
      <c r="Q59" s="84">
        <v>176.2</v>
      </c>
      <c r="R59" s="93">
        <v>416.01</v>
      </c>
      <c r="S59" s="92">
        <v>0.9113</v>
      </c>
      <c r="T59" s="93">
        <v>1.8440000000000001</v>
      </c>
      <c r="V59" s="94">
        <v>-16</v>
      </c>
      <c r="W59" s="84">
        <v>0.35991000000000001</v>
      </c>
      <c r="X59" s="93">
        <v>0.28820000000000001</v>
      </c>
      <c r="Y59" s="92">
        <v>7.9744816586921851E-4</v>
      </c>
      <c r="Z59" s="83">
        <v>7.8814627994955866E-2</v>
      </c>
      <c r="AA59" s="84">
        <v>177.66</v>
      </c>
      <c r="AB59" s="93">
        <v>392.52</v>
      </c>
      <c r="AC59" s="92">
        <v>0.91652999999999996</v>
      </c>
      <c r="AD59" s="93">
        <v>1.7630999999999999</v>
      </c>
      <c r="AF59" s="94">
        <v>-6</v>
      </c>
      <c r="AG59" s="84">
        <v>0.77929999999999999</v>
      </c>
      <c r="AH59" s="93">
        <v>0.56620000000000004</v>
      </c>
      <c r="AI59" s="84">
        <v>8.43E-4</v>
      </c>
      <c r="AJ59" s="93">
        <v>4.6100000000000002E-2</v>
      </c>
      <c r="AK59" s="84">
        <v>191</v>
      </c>
      <c r="AL59" s="93">
        <v>414.6</v>
      </c>
      <c r="AM59" s="84">
        <v>0.96699999999999997</v>
      </c>
      <c r="AN59" s="93">
        <v>1.8180000000000001</v>
      </c>
      <c r="AP59" s="94">
        <v>4</v>
      </c>
      <c r="AQ59" s="90">
        <v>3.8687999999999998</v>
      </c>
      <c r="AR59" s="105"/>
      <c r="AS59" s="92">
        <v>1.108E-3</v>
      </c>
      <c r="AT59" s="83">
        <v>9.0109999999999999E-3</v>
      </c>
      <c r="AU59" s="84">
        <v>209.95</v>
      </c>
      <c r="AV59" s="93">
        <v>428.25</v>
      </c>
      <c r="AW59" s="92">
        <v>1.0346</v>
      </c>
      <c r="AX59" s="93">
        <v>1.8223</v>
      </c>
      <c r="AZ59" s="94">
        <v>4</v>
      </c>
      <c r="BA59" s="90">
        <v>0.49747999999999998</v>
      </c>
      <c r="BB59" s="105"/>
      <c r="BC59" s="84">
        <v>1.5796E-3</v>
      </c>
      <c r="BD59" s="112">
        <v>0.2515</v>
      </c>
      <c r="BE59" s="84">
        <v>218.6</v>
      </c>
      <c r="BF59" s="93">
        <v>1466.4</v>
      </c>
      <c r="BG59" s="92">
        <v>1.0669999999999999</v>
      </c>
      <c r="BH59" s="93">
        <v>5.5694999999999997</v>
      </c>
    </row>
    <row r="60" spans="2:60" x14ac:dyDescent="0.4">
      <c r="B60" s="100">
        <v>-15</v>
      </c>
      <c r="C60" s="101">
        <f t="shared" ref="C60:J60" si="81">(C59+C61)/2</f>
        <v>0.36745</v>
      </c>
      <c r="D60" s="102">
        <f t="shared" si="81"/>
        <v>0.3599</v>
      </c>
      <c r="E60" s="101">
        <f t="shared" si="81"/>
        <v>8.3029999999999996E-4</v>
      </c>
      <c r="F60" s="102">
        <f t="shared" si="81"/>
        <v>5.4509500000000002E-2</v>
      </c>
      <c r="G60" s="103">
        <f t="shared" si="81"/>
        <v>179.64999999999998</v>
      </c>
      <c r="H60" s="104">
        <f t="shared" si="81"/>
        <v>358.19499999999999</v>
      </c>
      <c r="I60" s="103">
        <f t="shared" si="81"/>
        <v>0.92420000000000002</v>
      </c>
      <c r="J60" s="104">
        <f t="shared" si="81"/>
        <v>1.617</v>
      </c>
      <c r="L60" s="100">
        <v>-15</v>
      </c>
      <c r="M60" s="103">
        <f t="shared" ref="M60:T60" si="82">(M59+M61)/2</f>
        <v>0.48150000000000004</v>
      </c>
      <c r="N60" s="104">
        <f t="shared" si="82"/>
        <v>0.48</v>
      </c>
      <c r="O60" s="103">
        <f t="shared" si="82"/>
        <v>8.1414500000000006E-4</v>
      </c>
      <c r="P60" s="104">
        <f t="shared" si="82"/>
        <v>5.4388499999999999E-2</v>
      </c>
      <c r="Q60" s="103">
        <f t="shared" si="82"/>
        <v>177.66</v>
      </c>
      <c r="R60" s="104">
        <f t="shared" si="82"/>
        <v>416.40499999999997</v>
      </c>
      <c r="S60" s="103">
        <f t="shared" si="82"/>
        <v>0.91690000000000005</v>
      </c>
      <c r="T60" s="104">
        <f t="shared" si="82"/>
        <v>1.8419000000000001</v>
      </c>
      <c r="V60" s="79">
        <v>-15</v>
      </c>
      <c r="W60" s="84">
        <v>0.37325000000000003</v>
      </c>
      <c r="X60" s="93">
        <v>0.29959999999999998</v>
      </c>
      <c r="Y60" s="92">
        <v>7.9961618423156887E-4</v>
      </c>
      <c r="Z60" s="83">
        <v>7.5930144267274111E-2</v>
      </c>
      <c r="AA60" s="84">
        <v>179.03</v>
      </c>
      <c r="AB60" s="93">
        <v>393.06</v>
      </c>
      <c r="AC60" s="92">
        <v>0.92181000000000002</v>
      </c>
      <c r="AD60" s="93">
        <v>1.7617</v>
      </c>
      <c r="AF60" s="94">
        <v>-5</v>
      </c>
      <c r="AG60" s="84">
        <v>0.80349999999999999</v>
      </c>
      <c r="AH60" s="93">
        <v>0.58609999999999995</v>
      </c>
      <c r="AI60" s="84">
        <v>8.4599999999999996E-4</v>
      </c>
      <c r="AJ60" s="93">
        <v>4.4600000000000001E-2</v>
      </c>
      <c r="AK60" s="84">
        <v>192.5</v>
      </c>
      <c r="AL60" s="93">
        <v>415</v>
      </c>
      <c r="AM60" s="84">
        <v>0.97299999999999998</v>
      </c>
      <c r="AN60" s="93">
        <v>1.8169999999999999</v>
      </c>
      <c r="AP60" s="79">
        <v>5</v>
      </c>
      <c r="AQ60" s="90">
        <v>3.9695</v>
      </c>
      <c r="AR60" s="105"/>
      <c r="AS60" s="92">
        <v>1.116E-3</v>
      </c>
      <c r="AT60" s="83">
        <v>8.7244000000000002E-3</v>
      </c>
      <c r="AU60" s="84">
        <v>212.5</v>
      </c>
      <c r="AV60" s="93">
        <v>427.48</v>
      </c>
      <c r="AW60" s="92">
        <v>1.0434000000000001</v>
      </c>
      <c r="AX60" s="93">
        <v>1.8163</v>
      </c>
      <c r="AZ60" s="79">
        <v>5</v>
      </c>
      <c r="BA60" s="106">
        <f>(BA59+BA61)/2</f>
        <v>0.51600499999999994</v>
      </c>
      <c r="BB60" s="108"/>
      <c r="BC60" s="106">
        <f t="shared" ref="BC60:BH60" si="83">(BC59+BC61)/2</f>
        <v>1.5831E-3</v>
      </c>
      <c r="BD60" s="113">
        <f t="shared" si="83"/>
        <v>0.2432</v>
      </c>
      <c r="BE60" s="109">
        <f t="shared" si="83"/>
        <v>223.25</v>
      </c>
      <c r="BF60" s="110">
        <f t="shared" si="83"/>
        <v>1467.4</v>
      </c>
      <c r="BG60" s="109">
        <f t="shared" si="83"/>
        <v>1.08365</v>
      </c>
      <c r="BH60" s="110">
        <f t="shared" si="83"/>
        <v>5.5568499999999998</v>
      </c>
    </row>
    <row r="61" spans="2:60" x14ac:dyDescent="0.4">
      <c r="B61" s="94">
        <v>-14</v>
      </c>
      <c r="C61" s="84">
        <v>0.38059999999999999</v>
      </c>
      <c r="D61" s="93">
        <v>0.37290000000000001</v>
      </c>
      <c r="E61" s="92">
        <v>8.3270000000000002E-4</v>
      </c>
      <c r="F61" s="83">
        <v>5.2592E-2</v>
      </c>
      <c r="G61" s="84">
        <v>180.98</v>
      </c>
      <c r="H61" s="93">
        <v>358.74</v>
      </c>
      <c r="I61" s="92">
        <v>0.92930000000000001</v>
      </c>
      <c r="J61" s="93">
        <v>1.6160000000000001</v>
      </c>
      <c r="L61" s="79">
        <v>-14</v>
      </c>
      <c r="M61" s="84">
        <v>0.499</v>
      </c>
      <c r="N61" s="93">
        <v>0.497</v>
      </c>
      <c r="O61" s="111">
        <v>8.1654999999999998E-4</v>
      </c>
      <c r="P61" s="83">
        <v>5.2472999999999999E-2</v>
      </c>
      <c r="Q61" s="84">
        <v>179.12</v>
      </c>
      <c r="R61" s="93">
        <v>416.8</v>
      </c>
      <c r="S61" s="92">
        <v>0.92249999999999999</v>
      </c>
      <c r="T61" s="93">
        <v>1.8398000000000001</v>
      </c>
      <c r="V61" s="94">
        <v>-14</v>
      </c>
      <c r="W61" s="84">
        <v>0.38696000000000003</v>
      </c>
      <c r="X61" s="93">
        <v>0.31134000000000001</v>
      </c>
      <c r="Y61" s="92">
        <v>8.0179602309172538E-4</v>
      </c>
      <c r="Z61" s="83">
        <v>7.3174301185423674E-2</v>
      </c>
      <c r="AA61" s="84">
        <v>180.4</v>
      </c>
      <c r="AB61" s="93">
        <v>393.59</v>
      </c>
      <c r="AC61" s="92">
        <v>0.92708999999999997</v>
      </c>
      <c r="AD61" s="93">
        <v>1.7604</v>
      </c>
      <c r="AF61" s="94">
        <v>-4</v>
      </c>
      <c r="AG61" s="84">
        <v>0.82840000000000003</v>
      </c>
      <c r="AH61" s="93">
        <v>0.60660000000000003</v>
      </c>
      <c r="AI61" s="84">
        <v>8.4900000000000004E-4</v>
      </c>
      <c r="AJ61" s="93">
        <v>4.3099999999999999E-2</v>
      </c>
      <c r="AK61" s="84">
        <v>194</v>
      </c>
      <c r="AL61" s="93">
        <v>415.5</v>
      </c>
      <c r="AM61" s="84">
        <v>0.97799999999999998</v>
      </c>
      <c r="AN61" s="93">
        <v>1.8149999999999999</v>
      </c>
      <c r="AP61" s="94">
        <v>6</v>
      </c>
      <c r="AQ61" s="90">
        <v>4.0720000000000001</v>
      </c>
      <c r="AR61" s="105"/>
      <c r="AS61" s="92">
        <v>1.1244E-3</v>
      </c>
      <c r="AT61" s="83">
        <v>8.4454000000000005E-3</v>
      </c>
      <c r="AU61" s="84">
        <v>215.08</v>
      </c>
      <c r="AV61" s="93">
        <v>426.67</v>
      </c>
      <c r="AW61" s="92">
        <v>1.0523</v>
      </c>
      <c r="AX61" s="93">
        <v>1.8102</v>
      </c>
      <c r="AZ61" s="94">
        <v>6</v>
      </c>
      <c r="BA61" s="90">
        <v>0.53452999999999995</v>
      </c>
      <c r="BB61" s="105"/>
      <c r="BC61" s="84">
        <v>1.5866000000000001E-3</v>
      </c>
      <c r="BD61" s="112">
        <v>0.2349</v>
      </c>
      <c r="BE61" s="84">
        <v>227.9</v>
      </c>
      <c r="BF61" s="93">
        <v>1468.4</v>
      </c>
      <c r="BG61" s="92">
        <v>1.1003000000000001</v>
      </c>
      <c r="BH61" s="93">
        <v>5.5442</v>
      </c>
    </row>
    <row r="62" spans="2:60" x14ac:dyDescent="0.4">
      <c r="B62" s="100">
        <v>-13</v>
      </c>
      <c r="C62" s="101">
        <f t="shared" ref="C62:J62" si="84">(C61+C63)/2</f>
        <v>0.39444999999999997</v>
      </c>
      <c r="D62" s="102">
        <f t="shared" si="84"/>
        <v>0.38664999999999999</v>
      </c>
      <c r="E62" s="101">
        <f t="shared" si="84"/>
        <v>8.3515E-4</v>
      </c>
      <c r="F62" s="102">
        <f t="shared" si="84"/>
        <v>5.0828499999999999E-2</v>
      </c>
      <c r="G62" s="103">
        <f t="shared" si="84"/>
        <v>182.315</v>
      </c>
      <c r="H62" s="104">
        <f t="shared" si="84"/>
        <v>359.28499999999997</v>
      </c>
      <c r="I62" s="103">
        <f t="shared" si="84"/>
        <v>0.93435000000000001</v>
      </c>
      <c r="J62" s="104">
        <f t="shared" si="84"/>
        <v>1.6154999999999999</v>
      </c>
      <c r="L62" s="100">
        <v>-13</v>
      </c>
      <c r="M62" s="103">
        <f t="shared" ref="M62:T62" si="85">(M61+M63)/2</f>
        <v>0.51750000000000007</v>
      </c>
      <c r="N62" s="104">
        <f t="shared" si="85"/>
        <v>0.51550000000000007</v>
      </c>
      <c r="O62" s="103">
        <f t="shared" si="85"/>
        <v>8.1901000000000001E-4</v>
      </c>
      <c r="P62" s="104">
        <f t="shared" si="85"/>
        <v>5.0710999999999999E-2</v>
      </c>
      <c r="Q62" s="103">
        <f t="shared" si="85"/>
        <v>180.59</v>
      </c>
      <c r="R62" s="104">
        <f t="shared" si="85"/>
        <v>417.185</v>
      </c>
      <c r="S62" s="103">
        <f t="shared" si="85"/>
        <v>0.92805000000000004</v>
      </c>
      <c r="T62" s="104">
        <f t="shared" si="85"/>
        <v>1.8377500000000002</v>
      </c>
      <c r="V62" s="79">
        <v>-13</v>
      </c>
      <c r="W62" s="84">
        <v>0.40105000000000002</v>
      </c>
      <c r="X62" s="93">
        <v>0.32343</v>
      </c>
      <c r="Y62" s="92">
        <v>8.0398777938575335E-4</v>
      </c>
      <c r="Z62" s="83">
        <v>7.0536784933342742E-2</v>
      </c>
      <c r="AA62" s="84">
        <v>181.78</v>
      </c>
      <c r="AB62" s="93">
        <v>394.12</v>
      </c>
      <c r="AC62" s="92">
        <v>0.93235000000000001</v>
      </c>
      <c r="AD62" s="93">
        <v>1.7591000000000001</v>
      </c>
      <c r="AF62" s="94">
        <v>-3</v>
      </c>
      <c r="AG62" s="84">
        <v>0.85370000000000001</v>
      </c>
      <c r="AH62" s="93">
        <v>0.62770000000000004</v>
      </c>
      <c r="AI62" s="84">
        <v>8.52E-4</v>
      </c>
      <c r="AJ62" s="93">
        <v>4.1700000000000001E-2</v>
      </c>
      <c r="AK62" s="84">
        <v>195.5</v>
      </c>
      <c r="AL62" s="93">
        <v>415.9</v>
      </c>
      <c r="AM62" s="84">
        <v>0.98399999999999999</v>
      </c>
      <c r="AN62" s="93">
        <v>1.8129999999999999</v>
      </c>
      <c r="AP62" s="79">
        <v>7</v>
      </c>
      <c r="AQ62" s="90">
        <v>4.1764999999999999</v>
      </c>
      <c r="AR62" s="105"/>
      <c r="AS62" s="92">
        <v>1.1330999999999999E-3</v>
      </c>
      <c r="AT62" s="83">
        <v>8.1737000000000008E-3</v>
      </c>
      <c r="AU62" s="84">
        <v>217.69</v>
      </c>
      <c r="AV62" s="93">
        <v>425.81</v>
      </c>
      <c r="AW62" s="92">
        <v>1.0611999999999999</v>
      </c>
      <c r="AX62" s="93">
        <v>1.8041</v>
      </c>
      <c r="AZ62" s="79">
        <v>7</v>
      </c>
      <c r="BA62" s="106">
        <f>(BA61+BA63)/2</f>
        <v>0.55411499999999991</v>
      </c>
      <c r="BB62" s="108"/>
      <c r="BC62" s="106">
        <f t="shared" ref="BC62:BH62" si="86">(BC61+BC63)/2</f>
        <v>1.59015E-3</v>
      </c>
      <c r="BD62" s="113">
        <f t="shared" si="86"/>
        <v>0.22725000000000001</v>
      </c>
      <c r="BE62" s="109">
        <f t="shared" si="86"/>
        <v>232.55</v>
      </c>
      <c r="BF62" s="110">
        <f t="shared" si="86"/>
        <v>1469.35</v>
      </c>
      <c r="BG62" s="109">
        <f t="shared" si="86"/>
        <v>1.1168499999999999</v>
      </c>
      <c r="BH62" s="110">
        <f t="shared" si="86"/>
        <v>5.5316999999999998</v>
      </c>
    </row>
    <row r="63" spans="2:60" x14ac:dyDescent="0.4">
      <c r="B63" s="79">
        <v>-12</v>
      </c>
      <c r="C63" s="84">
        <v>0.4083</v>
      </c>
      <c r="D63" s="93">
        <v>0.40039999999999998</v>
      </c>
      <c r="E63" s="92">
        <v>8.3759999999999998E-4</v>
      </c>
      <c r="F63" s="83">
        <v>4.9064999999999998E-2</v>
      </c>
      <c r="G63" s="84">
        <v>183.65</v>
      </c>
      <c r="H63" s="93">
        <v>359.83</v>
      </c>
      <c r="I63" s="92">
        <v>0.93940000000000001</v>
      </c>
      <c r="J63" s="93">
        <v>1.615</v>
      </c>
      <c r="L63" s="79">
        <v>-12</v>
      </c>
      <c r="M63" s="84">
        <v>0.53600000000000003</v>
      </c>
      <c r="N63" s="93">
        <v>0.53400000000000003</v>
      </c>
      <c r="O63" s="111">
        <v>8.2147000000000003E-4</v>
      </c>
      <c r="P63" s="83">
        <v>4.8948999999999999E-2</v>
      </c>
      <c r="Q63" s="84">
        <v>182.06</v>
      </c>
      <c r="R63" s="93">
        <v>417.57</v>
      </c>
      <c r="S63" s="92">
        <v>0.93359999999999999</v>
      </c>
      <c r="T63" s="93">
        <v>1.8357000000000001</v>
      </c>
      <c r="V63" s="94">
        <v>-12</v>
      </c>
      <c r="W63" s="84">
        <v>0.41552</v>
      </c>
      <c r="X63" s="93">
        <v>0.33587</v>
      </c>
      <c r="Y63" s="92">
        <v>8.0619155111254432E-4</v>
      </c>
      <c r="Z63" s="83">
        <v>6.8013330612800113E-2</v>
      </c>
      <c r="AA63" s="84">
        <v>183.16</v>
      </c>
      <c r="AB63" s="93">
        <v>394.65</v>
      </c>
      <c r="AC63" s="92">
        <v>0.93761000000000005</v>
      </c>
      <c r="AD63" s="93">
        <v>1.7578</v>
      </c>
      <c r="AF63" s="94">
        <v>-2</v>
      </c>
      <c r="AG63" s="84">
        <v>0.87970000000000004</v>
      </c>
      <c r="AH63" s="93">
        <v>0.6492</v>
      </c>
      <c r="AI63" s="84">
        <v>8.5400000000000005E-4</v>
      </c>
      <c r="AJ63" s="93">
        <v>4.0300000000000002E-2</v>
      </c>
      <c r="AK63" s="84">
        <v>197</v>
      </c>
      <c r="AL63" s="93">
        <v>416.3</v>
      </c>
      <c r="AM63" s="84">
        <v>0.98899999999999999</v>
      </c>
      <c r="AN63" s="93">
        <v>1.8109999999999999</v>
      </c>
      <c r="AP63" s="94">
        <v>8</v>
      </c>
      <c r="AQ63" s="90">
        <v>4.2831000000000001</v>
      </c>
      <c r="AR63" s="105"/>
      <c r="AS63" s="92">
        <v>1.1421000000000001E-3</v>
      </c>
      <c r="AT63" s="83">
        <v>7.9089E-3</v>
      </c>
      <c r="AU63" s="84">
        <v>220.34</v>
      </c>
      <c r="AV63" s="93">
        <v>424.89</v>
      </c>
      <c r="AW63" s="92">
        <v>1.0702</v>
      </c>
      <c r="AX63" s="93">
        <v>1.7977000000000001</v>
      </c>
      <c r="AZ63" s="94">
        <v>8</v>
      </c>
      <c r="BA63" s="90">
        <v>0.57369999999999999</v>
      </c>
      <c r="BB63" s="105"/>
      <c r="BC63" s="84">
        <v>1.5937E-3</v>
      </c>
      <c r="BD63" s="112">
        <v>0.21959999999999999</v>
      </c>
      <c r="BE63" s="84">
        <v>237.2</v>
      </c>
      <c r="BF63" s="93">
        <v>1470.3</v>
      </c>
      <c r="BG63" s="92">
        <v>1.1334</v>
      </c>
      <c r="BH63" s="93">
        <v>5.5191999999999997</v>
      </c>
    </row>
    <row r="64" spans="2:60" x14ac:dyDescent="0.4">
      <c r="B64" s="114">
        <v>-11</v>
      </c>
      <c r="C64" s="101">
        <f t="shared" ref="C64:J64" si="87">(C63+C65)/2</f>
        <v>0.42294999999999999</v>
      </c>
      <c r="D64" s="102">
        <f t="shared" si="87"/>
        <v>0.41485</v>
      </c>
      <c r="E64" s="101">
        <f t="shared" si="87"/>
        <v>8.4009999999999998E-4</v>
      </c>
      <c r="F64" s="102">
        <f t="shared" si="87"/>
        <v>4.7440499999999997E-2</v>
      </c>
      <c r="G64" s="103">
        <f t="shared" si="87"/>
        <v>184.995</v>
      </c>
      <c r="H64" s="104">
        <f t="shared" si="87"/>
        <v>360.36</v>
      </c>
      <c r="I64" s="103">
        <f t="shared" si="87"/>
        <v>0.94450000000000001</v>
      </c>
      <c r="J64" s="104">
        <f t="shared" si="87"/>
        <v>1.6145</v>
      </c>
      <c r="L64" s="100">
        <v>-11</v>
      </c>
      <c r="M64" s="103">
        <f t="shared" ref="M64:T64" si="88">(M63+M65)/2</f>
        <v>0.55499999999999994</v>
      </c>
      <c r="N64" s="104">
        <f t="shared" si="88"/>
        <v>0.55299999999999994</v>
      </c>
      <c r="O64" s="103">
        <f t="shared" si="88"/>
        <v>8.2398499999999995E-4</v>
      </c>
      <c r="P64" s="104">
        <f t="shared" si="88"/>
        <v>4.73255E-2</v>
      </c>
      <c r="Q64" s="103">
        <f t="shared" si="88"/>
        <v>183.535</v>
      </c>
      <c r="R64" s="104">
        <f t="shared" si="88"/>
        <v>417.94499999999999</v>
      </c>
      <c r="S64" s="103">
        <f t="shared" si="88"/>
        <v>0.93920000000000003</v>
      </c>
      <c r="T64" s="104">
        <f t="shared" si="88"/>
        <v>1.83365</v>
      </c>
      <c r="V64" s="79">
        <v>-11</v>
      </c>
      <c r="W64" s="84">
        <v>0.43038999999999999</v>
      </c>
      <c r="X64" s="93">
        <v>0.34869</v>
      </c>
      <c r="Y64" s="92">
        <v>8.0847279489045193E-4</v>
      </c>
      <c r="Z64" s="83">
        <v>6.5599580162686966E-2</v>
      </c>
      <c r="AA64" s="84">
        <v>184.55</v>
      </c>
      <c r="AB64" s="93">
        <v>395.17</v>
      </c>
      <c r="AC64" s="92">
        <v>0.94284999999999997</v>
      </c>
      <c r="AD64" s="93">
        <v>1.7565999999999999</v>
      </c>
      <c r="AF64" s="94">
        <v>-1</v>
      </c>
      <c r="AG64" s="84">
        <v>0.90620000000000001</v>
      </c>
      <c r="AH64" s="93">
        <v>0.6714</v>
      </c>
      <c r="AI64" s="84">
        <v>8.5700000000000001E-4</v>
      </c>
      <c r="AJ64" s="93">
        <v>3.9E-2</v>
      </c>
      <c r="AK64" s="84">
        <v>198.5</v>
      </c>
      <c r="AL64" s="93">
        <v>416.7</v>
      </c>
      <c r="AM64" s="84">
        <v>0.995</v>
      </c>
      <c r="AN64" s="93">
        <v>1.8089999999999999</v>
      </c>
      <c r="AP64" s="79">
        <v>9</v>
      </c>
      <c r="AQ64" s="90">
        <v>4.3916000000000004</v>
      </c>
      <c r="AR64" s="105"/>
      <c r="AS64" s="92">
        <v>1.1515E-3</v>
      </c>
      <c r="AT64" s="83">
        <v>7.6508000000000001E-3</v>
      </c>
      <c r="AU64" s="84">
        <v>223.01</v>
      </c>
      <c r="AV64" s="93">
        <v>423.92</v>
      </c>
      <c r="AW64" s="92">
        <v>1.0791999999999999</v>
      </c>
      <c r="AX64" s="93">
        <v>1.7912999999999999</v>
      </c>
      <c r="AZ64" s="79">
        <v>9</v>
      </c>
      <c r="BA64" s="106">
        <f>(BA63+BA65)/2</f>
        <v>0.59437499999999999</v>
      </c>
      <c r="BB64" s="108"/>
      <c r="BC64" s="106">
        <f t="shared" ref="BC64:BH64" si="89">(BC63+BC65)/2</f>
        <v>1.5972999999999998E-3</v>
      </c>
      <c r="BD64" s="113">
        <f t="shared" si="89"/>
        <v>0.21249999999999999</v>
      </c>
      <c r="BE64" s="109">
        <f t="shared" si="89"/>
        <v>241.89999999999998</v>
      </c>
      <c r="BF64" s="110">
        <f t="shared" si="89"/>
        <v>1471.1999999999998</v>
      </c>
      <c r="BG64" s="109">
        <f t="shared" si="89"/>
        <v>1.1499000000000001</v>
      </c>
      <c r="BH64" s="110">
        <f t="shared" si="89"/>
        <v>5.5068999999999999</v>
      </c>
    </row>
    <row r="65" spans="2:60" x14ac:dyDescent="0.4">
      <c r="B65" s="79">
        <v>-10</v>
      </c>
      <c r="C65" s="84">
        <v>0.43759999999999999</v>
      </c>
      <c r="D65" s="93">
        <v>0.42930000000000001</v>
      </c>
      <c r="E65" s="92">
        <v>8.4259999999999999E-4</v>
      </c>
      <c r="F65" s="83">
        <v>4.5816000000000003E-2</v>
      </c>
      <c r="G65" s="84">
        <v>186.34</v>
      </c>
      <c r="H65" s="93">
        <v>360.89</v>
      </c>
      <c r="I65" s="92">
        <v>0.9496</v>
      </c>
      <c r="J65" s="93">
        <v>1.6140000000000001</v>
      </c>
      <c r="L65" s="79">
        <v>-10</v>
      </c>
      <c r="M65" s="84">
        <v>0.57399999999999995</v>
      </c>
      <c r="N65" s="93">
        <v>0.57199999999999995</v>
      </c>
      <c r="O65" s="111">
        <v>8.2649999999999998E-4</v>
      </c>
      <c r="P65" s="83">
        <v>4.5702E-2</v>
      </c>
      <c r="Q65" s="84">
        <v>185.01</v>
      </c>
      <c r="R65" s="93">
        <v>418.32</v>
      </c>
      <c r="S65" s="92">
        <v>0.94479999999999997</v>
      </c>
      <c r="T65" s="93">
        <v>1.8315999999999999</v>
      </c>
      <c r="V65" s="94">
        <v>-10</v>
      </c>
      <c r="W65" s="84">
        <v>0.44566</v>
      </c>
      <c r="X65" s="93">
        <v>0.36187000000000002</v>
      </c>
      <c r="Y65" s="92">
        <v>8.1076698556834762E-4</v>
      </c>
      <c r="Z65" s="83">
        <v>6.3287133725713568E-2</v>
      </c>
      <c r="AA65" s="84">
        <v>185.94</v>
      </c>
      <c r="AB65" s="93">
        <v>395.69</v>
      </c>
      <c r="AC65" s="92">
        <v>0.94808999999999999</v>
      </c>
      <c r="AD65" s="93">
        <v>1.7553000000000001</v>
      </c>
      <c r="AF65" s="94">
        <v>0</v>
      </c>
      <c r="AG65" s="84">
        <v>0.93330000000000002</v>
      </c>
      <c r="AH65" s="93">
        <v>0.69399999999999995</v>
      </c>
      <c r="AI65" s="84">
        <v>8.5999999999999998E-4</v>
      </c>
      <c r="AJ65" s="93">
        <v>3.7699999999999997E-2</v>
      </c>
      <c r="AK65" s="84">
        <v>200</v>
      </c>
      <c r="AL65" s="93">
        <v>417.1</v>
      </c>
      <c r="AM65" s="84">
        <v>1</v>
      </c>
      <c r="AN65" s="93">
        <v>1.8080000000000001</v>
      </c>
      <c r="AP65" s="94">
        <v>10</v>
      </c>
      <c r="AQ65" s="90">
        <v>4.5022000000000002</v>
      </c>
      <c r="AR65" s="105"/>
      <c r="AS65" s="92">
        <v>1.1613000000000001E-3</v>
      </c>
      <c r="AT65" s="83">
        <v>7.3987999999999996E-3</v>
      </c>
      <c r="AU65" s="84">
        <v>225.73</v>
      </c>
      <c r="AV65" s="93">
        <v>422.88</v>
      </c>
      <c r="AW65" s="92">
        <v>1.0884</v>
      </c>
      <c r="AX65" s="93">
        <v>1.7847</v>
      </c>
      <c r="AZ65" s="94">
        <v>10</v>
      </c>
      <c r="BA65" s="90">
        <v>0.61504999999999999</v>
      </c>
      <c r="BB65" s="105"/>
      <c r="BC65" s="84">
        <v>1.6008999999999999E-3</v>
      </c>
      <c r="BD65" s="112">
        <v>0.2054</v>
      </c>
      <c r="BE65" s="84">
        <v>246.6</v>
      </c>
      <c r="BF65" s="93">
        <v>1472.1</v>
      </c>
      <c r="BG65" s="92">
        <v>1.1664000000000001</v>
      </c>
      <c r="BH65" s="93">
        <v>5.4946000000000002</v>
      </c>
    </row>
    <row r="66" spans="2:60" x14ac:dyDescent="0.4">
      <c r="B66" s="100">
        <v>-9</v>
      </c>
      <c r="C66" s="101">
        <f t="shared" ref="C66:J66" si="90">(C65+C67)/2</f>
        <v>0.45299999999999996</v>
      </c>
      <c r="D66" s="102">
        <f t="shared" si="90"/>
        <v>0.44455</v>
      </c>
      <c r="E66" s="101">
        <f t="shared" si="90"/>
        <v>8.4519999999999994E-4</v>
      </c>
      <c r="F66" s="102">
        <f t="shared" si="90"/>
        <v>4.4317999999999996E-2</v>
      </c>
      <c r="G66" s="103">
        <f t="shared" si="90"/>
        <v>187.69</v>
      </c>
      <c r="H66" s="104">
        <f t="shared" si="90"/>
        <v>361.41999999999996</v>
      </c>
      <c r="I66" s="103">
        <f t="shared" si="90"/>
        <v>0.95465</v>
      </c>
      <c r="J66" s="104">
        <f t="shared" si="90"/>
        <v>1.6135000000000002</v>
      </c>
      <c r="L66" s="100">
        <v>-9</v>
      </c>
      <c r="M66" s="103">
        <f t="shared" ref="M66:T66" si="91">(M65+M67)/2</f>
        <v>0.59450000000000003</v>
      </c>
      <c r="N66" s="104">
        <f t="shared" si="91"/>
        <v>0.59250000000000003</v>
      </c>
      <c r="O66" s="103">
        <f t="shared" si="91"/>
        <v>8.2907499999999997E-4</v>
      </c>
      <c r="P66" s="104">
        <f t="shared" si="91"/>
        <v>4.4204500000000001E-2</v>
      </c>
      <c r="Q66" s="103">
        <f t="shared" si="91"/>
        <v>186.49</v>
      </c>
      <c r="R66" s="104">
        <f t="shared" si="91"/>
        <v>418.685</v>
      </c>
      <c r="S66" s="103">
        <f t="shared" si="91"/>
        <v>0.95035000000000003</v>
      </c>
      <c r="T66" s="104">
        <f t="shared" si="91"/>
        <v>1.8295499999999998</v>
      </c>
      <c r="V66" s="79">
        <v>-9</v>
      </c>
      <c r="W66" s="84">
        <v>0.46133000000000002</v>
      </c>
      <c r="X66" s="93">
        <v>0.37542999999999999</v>
      </c>
      <c r="Y66" s="92">
        <v>8.1307423367753468E-4</v>
      </c>
      <c r="Z66" s="83">
        <v>6.1068702290076333E-2</v>
      </c>
      <c r="AA66" s="84">
        <v>187.33</v>
      </c>
      <c r="AB66" s="93">
        <v>396.21</v>
      </c>
      <c r="AC66" s="92">
        <v>0.95331999999999995</v>
      </c>
      <c r="AD66" s="93">
        <v>1.7541</v>
      </c>
      <c r="AF66" s="94">
        <v>1</v>
      </c>
      <c r="AG66" s="84">
        <v>0.96099999999999997</v>
      </c>
      <c r="AH66" s="93">
        <v>0.71730000000000005</v>
      </c>
      <c r="AI66" s="84">
        <v>8.6300000000000005E-4</v>
      </c>
      <c r="AJ66" s="93">
        <v>3.6499999999999998E-2</v>
      </c>
      <c r="AK66" s="84">
        <v>201.5</v>
      </c>
      <c r="AL66" s="93">
        <v>417.5</v>
      </c>
      <c r="AM66" s="84">
        <v>1.0049999999999999</v>
      </c>
      <c r="AN66" s="93">
        <v>1.806</v>
      </c>
      <c r="AP66" s="79">
        <v>11</v>
      </c>
      <c r="AQ66" s="90">
        <v>4.6148999999999996</v>
      </c>
      <c r="AR66" s="105"/>
      <c r="AS66" s="92">
        <v>1.1715E-3</v>
      </c>
      <c r="AT66" s="83">
        <v>7.1528E-3</v>
      </c>
      <c r="AU66" s="84">
        <v>228.49</v>
      </c>
      <c r="AV66" s="93">
        <v>421.79</v>
      </c>
      <c r="AW66" s="92">
        <v>1.0975999999999999</v>
      </c>
      <c r="AX66" s="93">
        <v>1.7779</v>
      </c>
      <c r="AZ66" s="79">
        <v>11</v>
      </c>
      <c r="BA66" s="106">
        <f>(BA65+BA67)/2</f>
        <v>0.63685999999999998</v>
      </c>
      <c r="BB66" s="108"/>
      <c r="BC66" s="106">
        <f t="shared" ref="BC66:BH66" si="92">(BC65+BC67)/2</f>
        <v>1.6045499999999999E-3</v>
      </c>
      <c r="BD66" s="113">
        <f t="shared" si="92"/>
        <v>0.19889999999999999</v>
      </c>
      <c r="BE66" s="109">
        <f t="shared" si="92"/>
        <v>251.3</v>
      </c>
      <c r="BF66" s="110">
        <f t="shared" si="92"/>
        <v>1473</v>
      </c>
      <c r="BG66" s="109">
        <f t="shared" si="92"/>
        <v>1.1828000000000001</v>
      </c>
      <c r="BH66" s="110">
        <f t="shared" si="92"/>
        <v>5.48245</v>
      </c>
    </row>
    <row r="67" spans="2:60" x14ac:dyDescent="0.4">
      <c r="B67" s="94">
        <v>-8</v>
      </c>
      <c r="C67" s="84">
        <v>0.46839999999999998</v>
      </c>
      <c r="D67" s="93">
        <v>0.45979999999999999</v>
      </c>
      <c r="E67" s="92">
        <v>8.4780000000000001E-4</v>
      </c>
      <c r="F67" s="83">
        <v>4.2819999999999997E-2</v>
      </c>
      <c r="G67" s="84">
        <v>189.04</v>
      </c>
      <c r="H67" s="93">
        <v>361.95</v>
      </c>
      <c r="I67" s="92">
        <v>0.9597</v>
      </c>
      <c r="J67" s="93">
        <v>1.613</v>
      </c>
      <c r="L67" s="79">
        <v>-8</v>
      </c>
      <c r="M67" s="84">
        <v>0.61499999999999999</v>
      </c>
      <c r="N67" s="93">
        <v>0.61299999999999999</v>
      </c>
      <c r="O67" s="111">
        <v>8.3164999999999997E-4</v>
      </c>
      <c r="P67" s="83">
        <v>4.2707000000000002E-2</v>
      </c>
      <c r="Q67" s="84">
        <v>187.97</v>
      </c>
      <c r="R67" s="93">
        <v>419.05</v>
      </c>
      <c r="S67" s="92">
        <v>0.95589999999999997</v>
      </c>
      <c r="T67" s="93">
        <v>1.8274999999999999</v>
      </c>
      <c r="V67" s="94">
        <v>-8</v>
      </c>
      <c r="W67" s="84">
        <v>0.47742000000000001</v>
      </c>
      <c r="X67" s="93">
        <v>0.38938</v>
      </c>
      <c r="Y67" s="92">
        <v>8.1539465101108932E-4</v>
      </c>
      <c r="Z67" s="83">
        <v>5.8948361235557654E-2</v>
      </c>
      <c r="AA67" s="84">
        <v>188.72</v>
      </c>
      <c r="AB67" s="93">
        <v>396.73</v>
      </c>
      <c r="AC67" s="92">
        <v>0.95853999999999995</v>
      </c>
      <c r="AD67" s="93">
        <v>1.7528999999999999</v>
      </c>
      <c r="AF67" s="94">
        <v>2</v>
      </c>
      <c r="AG67" s="84">
        <v>0.98929999999999996</v>
      </c>
      <c r="AH67" s="93">
        <v>0.74119999999999997</v>
      </c>
      <c r="AI67" s="84">
        <v>8.6600000000000002E-4</v>
      </c>
      <c r="AJ67" s="93">
        <v>3.5299999999999998E-2</v>
      </c>
      <c r="AK67" s="84">
        <v>203</v>
      </c>
      <c r="AL67" s="93">
        <v>417.9</v>
      </c>
      <c r="AM67" s="84">
        <v>1.0109999999999999</v>
      </c>
      <c r="AN67" s="93">
        <v>1.804</v>
      </c>
      <c r="AP67" s="94">
        <v>12</v>
      </c>
      <c r="AQ67" s="90">
        <v>4.7297000000000002</v>
      </c>
      <c r="AR67" s="105"/>
      <c r="AS67" s="92">
        <v>1.1822E-3</v>
      </c>
      <c r="AT67" s="83">
        <v>6.9125000000000002E-3</v>
      </c>
      <c r="AU67" s="84">
        <v>231.29</v>
      </c>
      <c r="AV67" s="93">
        <v>420.62</v>
      </c>
      <c r="AW67" s="92">
        <v>1.107</v>
      </c>
      <c r="AX67" s="93">
        <v>1.7709999999999999</v>
      </c>
      <c r="AZ67" s="94">
        <v>12</v>
      </c>
      <c r="BA67" s="90">
        <v>0.65866999999999998</v>
      </c>
      <c r="BB67" s="105"/>
      <c r="BC67" s="84">
        <v>1.6082E-3</v>
      </c>
      <c r="BD67" s="112">
        <v>0.19239999999999999</v>
      </c>
      <c r="BE67" s="84">
        <v>256</v>
      </c>
      <c r="BF67" s="93">
        <v>1473.9</v>
      </c>
      <c r="BG67" s="92">
        <v>1.1992</v>
      </c>
      <c r="BH67" s="93">
        <v>5.4702999999999999</v>
      </c>
    </row>
    <row r="68" spans="2:60" x14ac:dyDescent="0.4">
      <c r="B68" s="100">
        <v>-7</v>
      </c>
      <c r="C68" s="101">
        <f t="shared" ref="C68:J68" si="93">(C67+C69)/2</f>
        <v>0.48460000000000003</v>
      </c>
      <c r="D68" s="102">
        <f t="shared" si="93"/>
        <v>0.47585</v>
      </c>
      <c r="E68" s="101">
        <f t="shared" si="93"/>
        <v>8.5040000000000007E-4</v>
      </c>
      <c r="F68" s="102">
        <f t="shared" si="93"/>
        <v>4.1436500000000001E-2</v>
      </c>
      <c r="G68" s="103">
        <f t="shared" si="93"/>
        <v>190.39999999999998</v>
      </c>
      <c r="H68" s="104">
        <f t="shared" si="93"/>
        <v>362.47500000000002</v>
      </c>
      <c r="I68" s="103">
        <f t="shared" si="93"/>
        <v>0.96475</v>
      </c>
      <c r="J68" s="104">
        <f t="shared" si="93"/>
        <v>1.6125</v>
      </c>
      <c r="L68" s="100">
        <v>-7</v>
      </c>
      <c r="M68" s="103">
        <f t="shared" ref="M68:T68" si="94">(M67+M69)/2</f>
        <v>0.63650000000000007</v>
      </c>
      <c r="N68" s="104">
        <f t="shared" si="94"/>
        <v>0.63450000000000006</v>
      </c>
      <c r="O68" s="103">
        <f t="shared" si="94"/>
        <v>8.3429499999999998E-4</v>
      </c>
      <c r="P68" s="104">
        <f t="shared" si="94"/>
        <v>4.1324E-2</v>
      </c>
      <c r="Q68" s="103">
        <f t="shared" si="94"/>
        <v>189.45999999999998</v>
      </c>
      <c r="R68" s="104">
        <f t="shared" si="94"/>
        <v>419.4</v>
      </c>
      <c r="S68" s="103">
        <f t="shared" si="94"/>
        <v>0.96140000000000003</v>
      </c>
      <c r="T68" s="104">
        <f t="shared" si="94"/>
        <v>1.82555</v>
      </c>
      <c r="V68" s="79">
        <v>-7</v>
      </c>
      <c r="W68" s="84">
        <v>0.49392999999999998</v>
      </c>
      <c r="X68" s="93">
        <v>0.40372999999999998</v>
      </c>
      <c r="Y68" s="92">
        <v>8.1772835064191675E-4</v>
      </c>
      <c r="Z68" s="83">
        <v>5.691195720220818E-2</v>
      </c>
      <c r="AA68" s="84">
        <v>190.12</v>
      </c>
      <c r="AB68" s="93">
        <v>397.24</v>
      </c>
      <c r="AC68" s="92">
        <v>0.96375</v>
      </c>
      <c r="AD68" s="93">
        <v>1.7517</v>
      </c>
      <c r="AF68" s="94">
        <v>3</v>
      </c>
      <c r="AG68" s="84">
        <v>1.0183</v>
      </c>
      <c r="AH68" s="93">
        <v>0.76559999999999995</v>
      </c>
      <c r="AI68" s="84">
        <v>8.6899999999999998E-4</v>
      </c>
      <c r="AJ68" s="93">
        <v>3.4200000000000001E-2</v>
      </c>
      <c r="AK68" s="84">
        <v>204.6</v>
      </c>
      <c r="AL68" s="93">
        <v>418.2</v>
      </c>
      <c r="AM68" s="84">
        <v>1.016</v>
      </c>
      <c r="AN68" s="93">
        <v>1.8029999999999999</v>
      </c>
      <c r="AP68" s="79">
        <v>13</v>
      </c>
      <c r="AQ68" s="90">
        <v>4.8465999999999996</v>
      </c>
      <c r="AR68" s="105"/>
      <c r="AS68" s="92">
        <v>1.1934000000000001E-3</v>
      </c>
      <c r="AT68" s="83">
        <v>6.6774E-3</v>
      </c>
      <c r="AU68" s="84">
        <v>234.13</v>
      </c>
      <c r="AV68" s="93">
        <v>419.37</v>
      </c>
      <c r="AW68" s="92">
        <v>1.1165</v>
      </c>
      <c r="AX68" s="93">
        <v>1.7638</v>
      </c>
      <c r="AZ68" s="79">
        <v>13</v>
      </c>
      <c r="BA68" s="106">
        <f>(BA67+BA69)/2</f>
        <v>0.68164999999999998</v>
      </c>
      <c r="BB68" s="108"/>
      <c r="BC68" s="106">
        <f t="shared" ref="BC68:BH68" si="95">(BC67+BC69)/2</f>
        <v>1.61195E-3</v>
      </c>
      <c r="BD68" s="113">
        <f t="shared" si="95"/>
        <v>0.18634999999999999</v>
      </c>
      <c r="BE68" s="109">
        <f t="shared" si="95"/>
        <v>260.7</v>
      </c>
      <c r="BF68" s="110">
        <f t="shared" si="95"/>
        <v>1474.75</v>
      </c>
      <c r="BG68" s="109">
        <f t="shared" si="95"/>
        <v>1.2155</v>
      </c>
      <c r="BH68" s="110">
        <f t="shared" si="95"/>
        <v>5.4582999999999995</v>
      </c>
    </row>
    <row r="69" spans="2:60" x14ac:dyDescent="0.4">
      <c r="B69" s="79">
        <v>-6</v>
      </c>
      <c r="C69" s="84">
        <v>0.50080000000000002</v>
      </c>
      <c r="D69" s="93">
        <v>0.4919</v>
      </c>
      <c r="E69" s="92">
        <v>8.5300000000000003E-4</v>
      </c>
      <c r="F69" s="83">
        <v>4.0052999999999998E-2</v>
      </c>
      <c r="G69" s="84">
        <v>191.76</v>
      </c>
      <c r="H69" s="93">
        <v>363</v>
      </c>
      <c r="I69" s="92">
        <v>0.9698</v>
      </c>
      <c r="J69" s="93">
        <v>1.6120000000000001</v>
      </c>
      <c r="L69" s="79">
        <v>-6</v>
      </c>
      <c r="M69" s="84">
        <v>0.65800000000000003</v>
      </c>
      <c r="N69" s="93">
        <v>0.65600000000000003</v>
      </c>
      <c r="O69" s="111">
        <v>8.3693999999999999E-4</v>
      </c>
      <c r="P69" s="83">
        <v>3.9940999999999997E-2</v>
      </c>
      <c r="Q69" s="84">
        <v>190.95</v>
      </c>
      <c r="R69" s="93">
        <v>419.75</v>
      </c>
      <c r="S69" s="92">
        <v>0.96689999999999998</v>
      </c>
      <c r="T69" s="93">
        <v>1.8236000000000001</v>
      </c>
      <c r="V69" s="94">
        <v>-6</v>
      </c>
      <c r="W69" s="84">
        <v>0.51087000000000005</v>
      </c>
      <c r="X69" s="93">
        <v>0.41847000000000001</v>
      </c>
      <c r="Y69" s="92">
        <v>8.2007544694111853E-4</v>
      </c>
      <c r="Z69" s="83">
        <v>5.4960153888430889E-2</v>
      </c>
      <c r="AA69" s="84">
        <v>191.52</v>
      </c>
      <c r="AB69" s="93">
        <v>397.75</v>
      </c>
      <c r="AC69" s="92">
        <v>0.96894999999999998</v>
      </c>
      <c r="AD69" s="93">
        <v>1.7504999999999999</v>
      </c>
      <c r="AF69" s="94">
        <v>4</v>
      </c>
      <c r="AG69" s="84">
        <v>1.0478000000000001</v>
      </c>
      <c r="AH69" s="93">
        <v>0.79069999999999996</v>
      </c>
      <c r="AI69" s="84">
        <v>8.7200000000000005E-4</v>
      </c>
      <c r="AJ69" s="93">
        <v>3.3099999999999997E-2</v>
      </c>
      <c r="AK69" s="84">
        <v>206.1</v>
      </c>
      <c r="AL69" s="93">
        <v>418.6</v>
      </c>
      <c r="AM69" s="84">
        <v>1.022</v>
      </c>
      <c r="AN69" s="93">
        <v>1.8009999999999999</v>
      </c>
      <c r="AP69" s="94">
        <v>14</v>
      </c>
      <c r="AQ69" s="90">
        <v>4.9657999999999998</v>
      </c>
      <c r="AR69" s="105"/>
      <c r="AS69" s="92">
        <v>1.2053000000000001E-3</v>
      </c>
      <c r="AT69" s="83">
        <v>6.4472000000000002E-3</v>
      </c>
      <c r="AU69" s="84">
        <v>237.03</v>
      </c>
      <c r="AV69" s="93">
        <v>418.05</v>
      </c>
      <c r="AW69" s="92">
        <v>1.1261000000000001</v>
      </c>
      <c r="AX69" s="93">
        <v>1.5649999999999999</v>
      </c>
      <c r="AZ69" s="94">
        <v>14</v>
      </c>
      <c r="BA69" s="90">
        <v>0.70462999999999998</v>
      </c>
      <c r="BB69" s="105"/>
      <c r="BC69" s="84">
        <v>1.6157000000000001E-3</v>
      </c>
      <c r="BD69" s="112">
        <v>0.18029999999999999</v>
      </c>
      <c r="BE69" s="84">
        <v>265.39999999999998</v>
      </c>
      <c r="BF69" s="93">
        <v>1475.6</v>
      </c>
      <c r="BG69" s="92">
        <v>1.2318</v>
      </c>
      <c r="BH69" s="93">
        <v>5.4462999999999999</v>
      </c>
    </row>
    <row r="70" spans="2:60" x14ac:dyDescent="0.4">
      <c r="B70" s="114">
        <v>-5</v>
      </c>
      <c r="C70" s="101">
        <f t="shared" ref="C70:J70" si="96">(C69+C71)/2</f>
        <v>0.51780000000000004</v>
      </c>
      <c r="D70" s="102">
        <f t="shared" si="96"/>
        <v>0.50879999999999992</v>
      </c>
      <c r="E70" s="101">
        <f t="shared" si="96"/>
        <v>8.5574999999999996E-4</v>
      </c>
      <c r="F70" s="102">
        <f t="shared" si="96"/>
        <v>3.8774000000000003E-2</v>
      </c>
      <c r="G70" s="103">
        <f t="shared" si="96"/>
        <v>193.125</v>
      </c>
      <c r="H70" s="104">
        <f t="shared" si="96"/>
        <v>363.51</v>
      </c>
      <c r="I70" s="103">
        <f t="shared" si="96"/>
        <v>0.97484999999999999</v>
      </c>
      <c r="J70" s="104">
        <f t="shared" si="96"/>
        <v>1.6114999999999999</v>
      </c>
      <c r="L70" s="100">
        <v>-5</v>
      </c>
      <c r="M70" s="103">
        <f t="shared" ref="M70:T70" si="97">(M69+M71)/2</f>
        <v>0.68049999999999999</v>
      </c>
      <c r="N70" s="104">
        <f t="shared" si="97"/>
        <v>0.67849999999999999</v>
      </c>
      <c r="O70" s="103">
        <f t="shared" si="97"/>
        <v>8.3964499999999997E-4</v>
      </c>
      <c r="P70" s="104">
        <f t="shared" si="97"/>
        <v>3.8662000000000002E-2</v>
      </c>
      <c r="Q70" s="103">
        <f t="shared" si="97"/>
        <v>192.45</v>
      </c>
      <c r="R70" s="104">
        <f t="shared" si="97"/>
        <v>420.09500000000003</v>
      </c>
      <c r="S70" s="103">
        <f t="shared" si="97"/>
        <v>0.97245000000000004</v>
      </c>
      <c r="T70" s="104">
        <f t="shared" si="97"/>
        <v>1.8216000000000001</v>
      </c>
      <c r="V70" s="79">
        <v>-5</v>
      </c>
      <c r="W70" s="84">
        <v>0.52824000000000004</v>
      </c>
      <c r="X70" s="93">
        <v>0.43362000000000001</v>
      </c>
      <c r="Y70" s="92">
        <v>8.2250370126665578E-4</v>
      </c>
      <c r="Z70" s="83">
        <v>5.3087009608748743E-2</v>
      </c>
      <c r="AA70" s="84">
        <v>192.92</v>
      </c>
      <c r="AB70" s="93">
        <v>398.25</v>
      </c>
      <c r="AC70" s="92">
        <v>0.97414000000000001</v>
      </c>
      <c r="AD70" s="93">
        <v>1.7493000000000001</v>
      </c>
      <c r="AF70" s="94">
        <v>5</v>
      </c>
      <c r="AG70" s="84">
        <v>1.0780000000000001</v>
      </c>
      <c r="AH70" s="93">
        <v>0.81640000000000001</v>
      </c>
      <c r="AI70" s="84">
        <v>8.7500000000000002E-4</v>
      </c>
      <c r="AJ70" s="93">
        <v>3.2099999999999997E-2</v>
      </c>
      <c r="AK70" s="84">
        <v>207.6</v>
      </c>
      <c r="AL70" s="93">
        <v>419</v>
      </c>
      <c r="AM70" s="84">
        <v>1.0269999999999999</v>
      </c>
      <c r="AN70" s="93">
        <v>1.7989999999999999</v>
      </c>
      <c r="AP70" s="79">
        <v>15</v>
      </c>
      <c r="AQ70" s="90">
        <v>5.0871000000000004</v>
      </c>
      <c r="AR70" s="105"/>
      <c r="AS70" s="92">
        <v>1.2176999999999999E-3</v>
      </c>
      <c r="AT70" s="83">
        <v>6.2215999999999999E-3</v>
      </c>
      <c r="AU70" s="84">
        <v>239.99</v>
      </c>
      <c r="AV70" s="93">
        <v>416.64</v>
      </c>
      <c r="AW70" s="92">
        <v>1.1358999999999999</v>
      </c>
      <c r="AX70" s="93">
        <v>1.7488999999999999</v>
      </c>
      <c r="AZ70" s="79">
        <v>15</v>
      </c>
      <c r="BA70" s="106">
        <f>(BA69+BA71)/2</f>
        <v>0.72883500000000001</v>
      </c>
      <c r="BB70" s="108"/>
      <c r="BC70" s="106">
        <f t="shared" ref="BC70:BH70" si="98">(BC69+BC71)/2</f>
        <v>1.6195000000000001E-3</v>
      </c>
      <c r="BD70" s="113">
        <f t="shared" si="98"/>
        <v>0.17469999999999999</v>
      </c>
      <c r="BE70" s="109">
        <f t="shared" si="98"/>
        <v>270.10000000000002</v>
      </c>
      <c r="BF70" s="110">
        <f t="shared" si="98"/>
        <v>1476.4</v>
      </c>
      <c r="BG70" s="109">
        <f t="shared" si="98"/>
        <v>1.2480500000000001</v>
      </c>
      <c r="BH70" s="110">
        <f t="shared" si="98"/>
        <v>5.43445</v>
      </c>
    </row>
    <row r="71" spans="2:60" x14ac:dyDescent="0.4">
      <c r="B71" s="79">
        <v>-4</v>
      </c>
      <c r="C71" s="84">
        <v>0.53480000000000005</v>
      </c>
      <c r="D71" s="93">
        <v>0.52569999999999995</v>
      </c>
      <c r="E71" s="92">
        <v>8.585E-4</v>
      </c>
      <c r="F71" s="83">
        <v>3.7495000000000001E-2</v>
      </c>
      <c r="G71" s="84">
        <v>194.49</v>
      </c>
      <c r="H71" s="93">
        <v>364.02</v>
      </c>
      <c r="I71" s="92">
        <v>0.97989999999999999</v>
      </c>
      <c r="J71" s="93">
        <v>1.611</v>
      </c>
      <c r="L71" s="79">
        <v>-4</v>
      </c>
      <c r="M71" s="84">
        <v>0.70299999999999996</v>
      </c>
      <c r="N71" s="93">
        <v>0.70099999999999996</v>
      </c>
      <c r="O71" s="111">
        <v>8.4234999999999996E-4</v>
      </c>
      <c r="P71" s="83">
        <v>3.7383E-2</v>
      </c>
      <c r="Q71" s="84">
        <v>193.95</v>
      </c>
      <c r="R71" s="93">
        <v>420.44</v>
      </c>
      <c r="S71" s="92">
        <v>0.97799999999999998</v>
      </c>
      <c r="T71" s="93">
        <v>1.8196000000000001</v>
      </c>
      <c r="V71" s="94">
        <v>-4</v>
      </c>
      <c r="W71" s="84">
        <v>0.54605000000000004</v>
      </c>
      <c r="X71" s="93">
        <v>0.44918999999999998</v>
      </c>
      <c r="Y71" s="92">
        <v>8.2494637848539842E-4</v>
      </c>
      <c r="Z71" s="83">
        <v>5.1289942042365491E-2</v>
      </c>
      <c r="AA71" s="84">
        <v>194.33</v>
      </c>
      <c r="AB71" s="93">
        <v>398.75</v>
      </c>
      <c r="AC71" s="92">
        <v>0.97933000000000003</v>
      </c>
      <c r="AD71" s="93">
        <v>1.7481</v>
      </c>
      <c r="AF71" s="94">
        <v>6</v>
      </c>
      <c r="AG71" s="84">
        <v>1.1088</v>
      </c>
      <c r="AH71" s="93">
        <v>0.8427</v>
      </c>
      <c r="AI71" s="84">
        <v>8.7799999999999998E-4</v>
      </c>
      <c r="AJ71" s="93">
        <v>3.1099999999999999E-2</v>
      </c>
      <c r="AK71" s="84">
        <v>209.2</v>
      </c>
      <c r="AL71" s="93">
        <v>419.3</v>
      </c>
      <c r="AM71" s="84">
        <v>1.0329999999999999</v>
      </c>
      <c r="AN71" s="93">
        <v>1.7969999999999999</v>
      </c>
      <c r="AP71" s="94">
        <v>16</v>
      </c>
      <c r="AQ71" s="90">
        <v>5.2107999999999999</v>
      </c>
      <c r="AR71" s="105"/>
      <c r="AS71" s="92">
        <v>1.2309E-3</v>
      </c>
      <c r="AT71" s="83">
        <v>6.0003000000000001E-3</v>
      </c>
      <c r="AU71" s="84">
        <v>243.01</v>
      </c>
      <c r="AV71" s="93">
        <v>415.12</v>
      </c>
      <c r="AW71" s="92">
        <v>1.1457999999999999</v>
      </c>
      <c r="AX71" s="93">
        <v>1.7411000000000001</v>
      </c>
      <c r="AZ71" s="94">
        <v>16</v>
      </c>
      <c r="BA71" s="90">
        <v>0.75304000000000004</v>
      </c>
      <c r="BB71" s="105"/>
      <c r="BC71" s="84">
        <v>1.6233E-3</v>
      </c>
      <c r="BD71" s="112">
        <v>0.1691</v>
      </c>
      <c r="BE71" s="84">
        <v>274.8</v>
      </c>
      <c r="BF71" s="93">
        <v>1477.2</v>
      </c>
      <c r="BG71" s="92">
        <v>1.2643</v>
      </c>
      <c r="BH71" s="93">
        <v>5.4226000000000001</v>
      </c>
    </row>
    <row r="72" spans="2:60" x14ac:dyDescent="0.4">
      <c r="B72" s="100">
        <v>-3</v>
      </c>
      <c r="C72" s="101">
        <f t="shared" ref="C72:J72" si="99">(C71+C73)/2</f>
        <v>0.55269999999999997</v>
      </c>
      <c r="D72" s="102">
        <f t="shared" si="99"/>
        <v>0.54344999999999999</v>
      </c>
      <c r="E72" s="101">
        <f t="shared" si="99"/>
        <v>8.6125000000000004E-4</v>
      </c>
      <c r="F72" s="102">
        <f t="shared" si="99"/>
        <v>3.6310999999999996E-2</v>
      </c>
      <c r="G72" s="103">
        <f t="shared" si="99"/>
        <v>195.86500000000001</v>
      </c>
      <c r="H72" s="104">
        <f t="shared" si="99"/>
        <v>364.53</v>
      </c>
      <c r="I72" s="103">
        <f t="shared" si="99"/>
        <v>0.98494999999999999</v>
      </c>
      <c r="J72" s="104">
        <f t="shared" si="99"/>
        <v>1.6105</v>
      </c>
      <c r="L72" s="100">
        <v>-3</v>
      </c>
      <c r="M72" s="103">
        <f t="shared" ref="M72:T72" si="100">(M71+M73)/2</f>
        <v>0.72649999999999992</v>
      </c>
      <c r="N72" s="104">
        <f t="shared" si="100"/>
        <v>0.72449999999999992</v>
      </c>
      <c r="O72" s="103">
        <f t="shared" si="100"/>
        <v>8.4512999999999993E-4</v>
      </c>
      <c r="P72" s="104">
        <f t="shared" si="100"/>
        <v>3.6198999999999995E-2</v>
      </c>
      <c r="Q72" s="103">
        <f t="shared" si="100"/>
        <v>195.45999999999998</v>
      </c>
      <c r="R72" s="104">
        <f t="shared" si="100"/>
        <v>420.76499999999999</v>
      </c>
      <c r="S72" s="103">
        <f t="shared" si="100"/>
        <v>0.98350000000000004</v>
      </c>
      <c r="T72" s="104">
        <f t="shared" si="100"/>
        <v>1.81765</v>
      </c>
      <c r="V72" s="79">
        <v>-3</v>
      </c>
      <c r="W72" s="84">
        <v>0.56432000000000004</v>
      </c>
      <c r="X72" s="93">
        <v>0.46517999999999998</v>
      </c>
      <c r="Y72" s="92">
        <v>8.2740360747972862E-4</v>
      </c>
      <c r="Z72" s="83">
        <v>4.9563838223632042E-2</v>
      </c>
      <c r="AA72" s="84">
        <v>195.74</v>
      </c>
      <c r="AB72" s="93">
        <v>399.25</v>
      </c>
      <c r="AC72" s="92">
        <v>0.98451</v>
      </c>
      <c r="AD72" s="93">
        <v>1.7470000000000001</v>
      </c>
      <c r="AF72" s="94">
        <v>7</v>
      </c>
      <c r="AG72" s="84">
        <v>1.1403000000000001</v>
      </c>
      <c r="AH72" s="93">
        <v>0.86970000000000003</v>
      </c>
      <c r="AI72" s="84">
        <v>8.8099999999999995E-4</v>
      </c>
      <c r="AJ72" s="93">
        <v>3.0099999999999998E-2</v>
      </c>
      <c r="AK72" s="84">
        <v>210.7</v>
      </c>
      <c r="AL72" s="93">
        <v>419.7</v>
      </c>
      <c r="AM72" s="84">
        <v>1.038</v>
      </c>
      <c r="AN72" s="93">
        <v>1.796</v>
      </c>
      <c r="AP72" s="79">
        <v>17</v>
      </c>
      <c r="AQ72" s="90">
        <v>5.3368000000000002</v>
      </c>
      <c r="AR72" s="105"/>
      <c r="AS72" s="92">
        <v>1.2449E-3</v>
      </c>
      <c r="AT72" s="83">
        <v>5.7828000000000003E-3</v>
      </c>
      <c r="AU72" s="84">
        <v>246.1</v>
      </c>
      <c r="AV72" s="93">
        <v>413.5</v>
      </c>
      <c r="AW72" s="92">
        <v>1.1558999999999999</v>
      </c>
      <c r="AX72" s="93">
        <v>1.7329000000000001</v>
      </c>
      <c r="AZ72" s="79">
        <v>17</v>
      </c>
      <c r="BA72" s="106">
        <f>(BA71+BA73)/2</f>
        <v>0.77849999999999997</v>
      </c>
      <c r="BB72" s="108"/>
      <c r="BC72" s="106">
        <f t="shared" ref="BC72:BH72" si="101">(BC71+BC73)/2</f>
        <v>1.62715E-3</v>
      </c>
      <c r="BD72" s="113">
        <f t="shared" si="101"/>
        <v>0.16394500000000001</v>
      </c>
      <c r="BE72" s="109">
        <f t="shared" si="101"/>
        <v>279.55</v>
      </c>
      <c r="BF72" s="110">
        <f t="shared" si="101"/>
        <v>1477.95</v>
      </c>
      <c r="BG72" s="109">
        <f t="shared" si="101"/>
        <v>1.2805</v>
      </c>
      <c r="BH72" s="110">
        <f t="shared" si="101"/>
        <v>5.4108499999999999</v>
      </c>
    </row>
    <row r="73" spans="2:60" x14ac:dyDescent="0.4">
      <c r="B73" s="94">
        <v>-2</v>
      </c>
      <c r="C73" s="84">
        <v>0.5706</v>
      </c>
      <c r="D73" s="93">
        <v>0.56120000000000003</v>
      </c>
      <c r="E73" s="92">
        <v>8.6399999999999997E-4</v>
      </c>
      <c r="F73" s="83">
        <v>3.5126999999999999E-2</v>
      </c>
      <c r="G73" s="84">
        <v>197.24</v>
      </c>
      <c r="H73" s="93">
        <v>365.04</v>
      </c>
      <c r="I73" s="92">
        <v>0.99</v>
      </c>
      <c r="J73" s="93">
        <v>1.61</v>
      </c>
      <c r="L73" s="79">
        <v>-2</v>
      </c>
      <c r="M73" s="84">
        <v>0.75</v>
      </c>
      <c r="N73" s="93">
        <v>0.748</v>
      </c>
      <c r="O73" s="111">
        <v>8.4791E-4</v>
      </c>
      <c r="P73" s="83">
        <v>3.5014999999999998E-2</v>
      </c>
      <c r="Q73" s="84">
        <v>196.97</v>
      </c>
      <c r="R73" s="93">
        <v>421.09</v>
      </c>
      <c r="S73" s="92">
        <v>0.98899999999999999</v>
      </c>
      <c r="T73" s="93">
        <v>1.8157000000000001</v>
      </c>
      <c r="V73" s="94">
        <v>-2</v>
      </c>
      <c r="W73" s="84">
        <v>0.58303000000000005</v>
      </c>
      <c r="X73" s="93">
        <v>0.48159999999999997</v>
      </c>
      <c r="Y73" s="92">
        <v>8.2987551867219915E-4</v>
      </c>
      <c r="Z73" s="83">
        <v>4.7908781679681885E-2</v>
      </c>
      <c r="AA73" s="84">
        <v>197.16</v>
      </c>
      <c r="AB73" s="93">
        <v>399.74</v>
      </c>
      <c r="AC73" s="92">
        <v>0.98968</v>
      </c>
      <c r="AD73" s="93">
        <v>1.7459</v>
      </c>
      <c r="AF73" s="94">
        <v>8</v>
      </c>
      <c r="AG73" s="84">
        <v>1.1724000000000001</v>
      </c>
      <c r="AH73" s="93">
        <v>0.89729999999999999</v>
      </c>
      <c r="AI73" s="84">
        <v>8.8500000000000004E-4</v>
      </c>
      <c r="AJ73" s="93">
        <v>2.9100000000000001E-2</v>
      </c>
      <c r="AK73" s="84">
        <v>212.3</v>
      </c>
      <c r="AL73" s="93">
        <v>420</v>
      </c>
      <c r="AM73" s="84">
        <v>1.044</v>
      </c>
      <c r="AN73" s="93">
        <v>1.794</v>
      </c>
      <c r="AP73" s="94">
        <v>18</v>
      </c>
      <c r="AQ73" s="90">
        <v>5.4650999999999996</v>
      </c>
      <c r="AR73" s="105"/>
      <c r="AS73" s="92">
        <v>1.2597999999999999E-3</v>
      </c>
      <c r="AT73" s="83">
        <v>5.5687999999999996E-3</v>
      </c>
      <c r="AU73" s="84">
        <v>249.26</v>
      </c>
      <c r="AV73" s="93">
        <v>411.76</v>
      </c>
      <c r="AW73" s="92">
        <v>1.1662999999999999</v>
      </c>
      <c r="AX73" s="93">
        <v>1.7243999999999999</v>
      </c>
      <c r="AZ73" s="94">
        <v>18</v>
      </c>
      <c r="BA73" s="90">
        <v>0.80396000000000001</v>
      </c>
      <c r="BB73" s="105"/>
      <c r="BC73" s="84">
        <v>1.6310000000000001E-3</v>
      </c>
      <c r="BD73" s="112">
        <v>0.15878999999999999</v>
      </c>
      <c r="BE73" s="84">
        <v>284.3</v>
      </c>
      <c r="BF73" s="93">
        <v>1478.7</v>
      </c>
      <c r="BG73" s="92">
        <v>1.2967</v>
      </c>
      <c r="BH73" s="93">
        <v>5.3990999999999998</v>
      </c>
    </row>
    <row r="74" spans="2:60" x14ac:dyDescent="0.4">
      <c r="B74" s="100">
        <v>-1</v>
      </c>
      <c r="C74" s="101">
        <f t="shared" ref="C74:J74" si="102">(C73+C75)/2</f>
        <v>0.58939999999999992</v>
      </c>
      <c r="D74" s="102">
        <f t="shared" si="102"/>
        <v>0.57984999999999998</v>
      </c>
      <c r="E74" s="101">
        <f t="shared" si="102"/>
        <v>8.6684999999999996E-4</v>
      </c>
      <c r="F74" s="102">
        <f t="shared" si="102"/>
        <v>3.4029500000000004E-2</v>
      </c>
      <c r="G74" s="103">
        <f t="shared" si="102"/>
        <v>198.62</v>
      </c>
      <c r="H74" s="104">
        <f t="shared" si="102"/>
        <v>365.54</v>
      </c>
      <c r="I74" s="103">
        <f t="shared" si="102"/>
        <v>0.995</v>
      </c>
      <c r="J74" s="104">
        <f t="shared" si="102"/>
        <v>1.6095000000000002</v>
      </c>
      <c r="L74" s="100">
        <v>-1</v>
      </c>
      <c r="M74" s="103">
        <f t="shared" ref="M74:T74" si="103">(M73+M75)/2</f>
        <v>0.77500000000000002</v>
      </c>
      <c r="N74" s="104">
        <f t="shared" si="103"/>
        <v>0.77249999999999996</v>
      </c>
      <c r="O74" s="103">
        <f t="shared" si="103"/>
        <v>8.5076500000000007E-4</v>
      </c>
      <c r="P74" s="104">
        <f t="shared" si="103"/>
        <v>3.3917500000000003E-2</v>
      </c>
      <c r="Q74" s="103">
        <f t="shared" si="103"/>
        <v>198.48500000000001</v>
      </c>
      <c r="R74" s="104">
        <f t="shared" si="103"/>
        <v>421.40499999999997</v>
      </c>
      <c r="S74" s="103">
        <f t="shared" si="103"/>
        <v>0.99449999999999994</v>
      </c>
      <c r="T74" s="104">
        <f t="shared" si="103"/>
        <v>1.8138000000000001</v>
      </c>
      <c r="V74" s="79">
        <v>-1</v>
      </c>
      <c r="W74" s="84">
        <v>0.60221000000000002</v>
      </c>
      <c r="X74" s="93">
        <v>0.49846000000000001</v>
      </c>
      <c r="Y74" s="92">
        <v>8.263574987811228E-5</v>
      </c>
      <c r="Z74" s="83">
        <v>4.6317739694302917E-2</v>
      </c>
      <c r="AA74" s="84">
        <v>198.58</v>
      </c>
      <c r="AB74" s="93">
        <v>400.23</v>
      </c>
      <c r="AC74" s="92">
        <v>0.99483999999999995</v>
      </c>
      <c r="AD74" s="93">
        <v>1.7446999999999999</v>
      </c>
      <c r="AF74" s="94">
        <v>9</v>
      </c>
      <c r="AG74" s="84">
        <v>1.2052</v>
      </c>
      <c r="AH74" s="93">
        <v>0.92559999999999998</v>
      </c>
      <c r="AI74" s="84">
        <v>8.8800000000000001E-4</v>
      </c>
      <c r="AJ74" s="93">
        <v>2.8199999999999999E-2</v>
      </c>
      <c r="AK74" s="84">
        <v>213.9</v>
      </c>
      <c r="AL74" s="93">
        <v>420.4</v>
      </c>
      <c r="AM74" s="84">
        <v>1.0489999999999999</v>
      </c>
      <c r="AN74" s="93">
        <v>1.792</v>
      </c>
      <c r="AP74" s="79">
        <v>19</v>
      </c>
      <c r="AQ74" s="90">
        <v>5.5957999999999997</v>
      </c>
      <c r="AR74" s="105"/>
      <c r="AS74" s="92">
        <v>1.2757999999999999E-3</v>
      </c>
      <c r="AT74" s="83">
        <v>5.3578000000000002E-3</v>
      </c>
      <c r="AU74" s="84">
        <v>252.52</v>
      </c>
      <c r="AV74" s="93">
        <v>409.89</v>
      </c>
      <c r="AW74" s="92">
        <v>1.1769000000000001</v>
      </c>
      <c r="AX74" s="93">
        <v>1.7155</v>
      </c>
      <c r="AZ74" s="79">
        <v>19</v>
      </c>
      <c r="BA74" s="106">
        <f>(BA73+BA75)/2</f>
        <v>0.83072000000000001</v>
      </c>
      <c r="BB74" s="108"/>
      <c r="BC74" s="106">
        <f t="shared" ref="BC74:BH74" si="104">(BC73+BC75)/2</f>
        <v>1.6348999999999999E-3</v>
      </c>
      <c r="BD74" s="113">
        <f t="shared" si="104"/>
        <v>0.15399499999999999</v>
      </c>
      <c r="BE74" s="109">
        <f t="shared" si="104"/>
        <v>289.05</v>
      </c>
      <c r="BF74" s="110">
        <f t="shared" si="104"/>
        <v>1479.45</v>
      </c>
      <c r="BG74" s="109">
        <f t="shared" si="104"/>
        <v>1.3128</v>
      </c>
      <c r="BH74" s="110">
        <f t="shared" si="104"/>
        <v>5.3874999999999993</v>
      </c>
    </row>
    <row r="75" spans="2:60" x14ac:dyDescent="0.4">
      <c r="B75" s="79">
        <v>0</v>
      </c>
      <c r="C75" s="84">
        <v>0.60819999999999996</v>
      </c>
      <c r="D75" s="93">
        <v>0.59850000000000003</v>
      </c>
      <c r="E75" s="92">
        <v>8.6970000000000005E-4</v>
      </c>
      <c r="F75" s="83">
        <v>3.2932000000000003E-2</v>
      </c>
      <c r="G75" s="84">
        <v>200</v>
      </c>
      <c r="H75" s="93">
        <v>366.04</v>
      </c>
      <c r="I75" s="92">
        <v>1</v>
      </c>
      <c r="J75" s="93">
        <v>1.609</v>
      </c>
      <c r="L75" s="79">
        <v>0</v>
      </c>
      <c r="M75" s="84">
        <v>0.8</v>
      </c>
      <c r="N75" s="93">
        <v>0.79700000000000004</v>
      </c>
      <c r="O75" s="111">
        <v>8.5362000000000003E-4</v>
      </c>
      <c r="P75" s="83">
        <v>3.2820000000000002E-2</v>
      </c>
      <c r="Q75" s="84">
        <v>200</v>
      </c>
      <c r="R75" s="93">
        <v>421.72</v>
      </c>
      <c r="S75" s="92">
        <v>1</v>
      </c>
      <c r="T75" s="93">
        <v>1.8119000000000001</v>
      </c>
      <c r="V75" s="94">
        <v>0</v>
      </c>
      <c r="W75" s="84">
        <v>0.62185999999999997</v>
      </c>
      <c r="X75" s="93">
        <v>0.51576999999999995</v>
      </c>
      <c r="Y75" s="92">
        <v>8.3493362277698921E-4</v>
      </c>
      <c r="Z75" s="83">
        <v>4.4788820710350695E-2</v>
      </c>
      <c r="AA75" s="84">
        <v>200</v>
      </c>
      <c r="AB75" s="93">
        <v>400.72</v>
      </c>
      <c r="AC75" s="92">
        <v>1</v>
      </c>
      <c r="AD75" s="93">
        <v>1.7436</v>
      </c>
      <c r="AF75" s="94">
        <v>10</v>
      </c>
      <c r="AG75" s="84">
        <v>1.2386999999999999</v>
      </c>
      <c r="AH75" s="93">
        <v>0.95450000000000002</v>
      </c>
      <c r="AI75" s="84">
        <v>8.9099999999999997E-4</v>
      </c>
      <c r="AJ75" s="93">
        <v>2.7400000000000001E-2</v>
      </c>
      <c r="AK75" s="84">
        <v>215.4</v>
      </c>
      <c r="AL75" s="93">
        <v>420.7</v>
      </c>
      <c r="AM75" s="84">
        <v>1.054</v>
      </c>
      <c r="AN75" s="93">
        <v>1.7909999999999999</v>
      </c>
      <c r="AP75" s="94">
        <v>20</v>
      </c>
      <c r="AQ75" s="90">
        <v>5.7290999999999999</v>
      </c>
      <c r="AR75" s="105"/>
      <c r="AS75" s="92">
        <v>1.2930000000000001E-3</v>
      </c>
      <c r="AT75" s="83">
        <v>5.1492999999999999E-3</v>
      </c>
      <c r="AU75" s="84">
        <v>255.87</v>
      </c>
      <c r="AV75" s="93">
        <v>407.87</v>
      </c>
      <c r="AW75" s="92">
        <v>1.1877</v>
      </c>
      <c r="AX75" s="93">
        <v>1.7061999999999999</v>
      </c>
      <c r="AZ75" s="94">
        <v>20</v>
      </c>
      <c r="BA75" s="90">
        <v>0.85748000000000002</v>
      </c>
      <c r="BB75" s="105"/>
      <c r="BC75" s="84">
        <v>1.6387999999999999E-3</v>
      </c>
      <c r="BD75" s="112">
        <v>0.1492</v>
      </c>
      <c r="BE75" s="84">
        <v>293.8</v>
      </c>
      <c r="BF75" s="93">
        <v>1480.2</v>
      </c>
      <c r="BG75" s="92">
        <v>1.3289</v>
      </c>
      <c r="BH75" s="93">
        <v>5.3758999999999997</v>
      </c>
    </row>
    <row r="76" spans="2:60" x14ac:dyDescent="0.4">
      <c r="B76" s="114">
        <v>1</v>
      </c>
      <c r="C76" s="101">
        <f t="shared" ref="C76:J76" si="105">(C75+C77)/2</f>
        <v>0.6278999999999999</v>
      </c>
      <c r="D76" s="102">
        <f t="shared" si="105"/>
        <v>0.61804999999999999</v>
      </c>
      <c r="E76" s="101">
        <f t="shared" si="105"/>
        <v>8.7264999999999999E-4</v>
      </c>
      <c r="F76" s="102">
        <f t="shared" si="105"/>
        <v>3.1913499999999997E-2</v>
      </c>
      <c r="G76" s="103">
        <f t="shared" si="105"/>
        <v>201.39</v>
      </c>
      <c r="H76" s="104">
        <f t="shared" si="105"/>
        <v>366.53</v>
      </c>
      <c r="I76" s="103">
        <f t="shared" si="105"/>
        <v>1.0049999999999999</v>
      </c>
      <c r="J76" s="104">
        <f t="shared" si="105"/>
        <v>1.6085</v>
      </c>
      <c r="L76" s="100">
        <v>1</v>
      </c>
      <c r="M76" s="103">
        <f t="shared" ref="M76:T76" si="106">(M75+M77)/2</f>
        <v>0.82600000000000007</v>
      </c>
      <c r="N76" s="104">
        <f t="shared" si="106"/>
        <v>0.82299999999999995</v>
      </c>
      <c r="O76" s="103">
        <f t="shared" si="106"/>
        <v>8.5655499999999995E-4</v>
      </c>
      <c r="P76" s="104">
        <f t="shared" si="106"/>
        <v>3.1801500000000003E-2</v>
      </c>
      <c r="Q76" s="103">
        <f t="shared" si="106"/>
        <v>201.52500000000001</v>
      </c>
      <c r="R76" s="104">
        <f t="shared" si="106"/>
        <v>422.02499999999998</v>
      </c>
      <c r="S76" s="103">
        <f t="shared" si="106"/>
        <v>1.0055000000000001</v>
      </c>
      <c r="T76" s="104">
        <f t="shared" si="106"/>
        <v>1.81</v>
      </c>
      <c r="V76" s="79">
        <v>1</v>
      </c>
      <c r="W76" s="84">
        <v>0.64198999999999995</v>
      </c>
      <c r="X76" s="93">
        <v>0.53352999999999995</v>
      </c>
      <c r="Y76" s="92">
        <v>8.375209380234506E-4</v>
      </c>
      <c r="Z76" s="83">
        <v>4.3320048518454342E-2</v>
      </c>
      <c r="AA76" s="84">
        <v>201.43</v>
      </c>
      <c r="AB76" s="93">
        <v>401.2</v>
      </c>
      <c r="AC76" s="92">
        <v>1.0052000000000001</v>
      </c>
      <c r="AD76" s="93">
        <v>1.7424999999999999</v>
      </c>
      <c r="AF76" s="94">
        <v>11</v>
      </c>
      <c r="AG76" s="84">
        <v>1.2727999999999999</v>
      </c>
      <c r="AH76" s="93">
        <v>0.98409999999999997</v>
      </c>
      <c r="AI76" s="84">
        <v>8.9400000000000005E-4</v>
      </c>
      <c r="AJ76" s="93">
        <v>2.6499999999999999E-2</v>
      </c>
      <c r="AK76" s="84">
        <v>217</v>
      </c>
      <c r="AL76" s="93">
        <v>421</v>
      </c>
      <c r="AM76" s="84">
        <v>1.06</v>
      </c>
      <c r="AN76" s="93">
        <v>1.7889999999999999</v>
      </c>
      <c r="AP76" s="79">
        <v>21</v>
      </c>
      <c r="AQ76" s="90">
        <v>5.8647999999999998</v>
      </c>
      <c r="AR76" s="105"/>
      <c r="AS76" s="92">
        <v>1.3116E-3</v>
      </c>
      <c r="AT76" s="83">
        <v>4.9427000000000004E-3</v>
      </c>
      <c r="AU76" s="84">
        <v>259.33</v>
      </c>
      <c r="AV76" s="93">
        <v>405.67</v>
      </c>
      <c r="AW76" s="92">
        <v>1.1989000000000001</v>
      </c>
      <c r="AX76" s="93">
        <v>1.6963999999999999</v>
      </c>
      <c r="AZ76" s="79">
        <v>21</v>
      </c>
      <c r="BA76" s="106">
        <f>(BA75+BA77)/2</f>
        <v>0.88558500000000007</v>
      </c>
      <c r="BB76" s="108"/>
      <c r="BC76" s="106">
        <f t="shared" ref="BC76:BH76" si="107">(BC75+BC77)/2</f>
        <v>1.6427999999999998E-3</v>
      </c>
      <c r="BD76" s="113">
        <f t="shared" si="107"/>
        <v>0.14474500000000001</v>
      </c>
      <c r="BE76" s="109">
        <f t="shared" si="107"/>
        <v>298.55</v>
      </c>
      <c r="BF76" s="110">
        <f t="shared" si="107"/>
        <v>1480.85</v>
      </c>
      <c r="BG76" s="109">
        <f t="shared" si="107"/>
        <v>1.3449499999999999</v>
      </c>
      <c r="BH76" s="110">
        <f t="shared" si="107"/>
        <v>5.3643999999999998</v>
      </c>
    </row>
    <row r="77" spans="2:60" x14ac:dyDescent="0.4">
      <c r="B77" s="79">
        <v>2</v>
      </c>
      <c r="C77" s="84">
        <v>0.64759999999999995</v>
      </c>
      <c r="D77" s="93">
        <v>0.63759999999999994</v>
      </c>
      <c r="E77" s="92">
        <v>8.7560000000000003E-4</v>
      </c>
      <c r="F77" s="83">
        <v>3.0894999999999999E-2</v>
      </c>
      <c r="G77" s="84">
        <v>202.78</v>
      </c>
      <c r="H77" s="93">
        <v>367.02</v>
      </c>
      <c r="I77" s="92">
        <v>1.01</v>
      </c>
      <c r="J77" s="93">
        <v>1.6080000000000001</v>
      </c>
      <c r="L77" s="79">
        <v>2</v>
      </c>
      <c r="M77" s="84">
        <v>0.85199999999999998</v>
      </c>
      <c r="N77" s="93">
        <v>0.84899999999999998</v>
      </c>
      <c r="O77" s="111">
        <v>8.5948999999999997E-4</v>
      </c>
      <c r="P77" s="83">
        <v>3.0783000000000001E-2</v>
      </c>
      <c r="Q77" s="84">
        <v>203.05</v>
      </c>
      <c r="R77" s="93">
        <v>422.33</v>
      </c>
      <c r="S77" s="92">
        <v>1.0109999999999999</v>
      </c>
      <c r="T77" s="93">
        <v>1.8081</v>
      </c>
      <c r="V77" s="94">
        <v>2</v>
      </c>
      <c r="W77" s="84">
        <v>0.66261000000000003</v>
      </c>
      <c r="X77" s="93">
        <v>0.55174999999999996</v>
      </c>
      <c r="Y77" s="92">
        <v>8.4019492522265159E-4</v>
      </c>
      <c r="Z77" s="83">
        <v>4.1905879394879102E-2</v>
      </c>
      <c r="AA77" s="84">
        <v>202.86</v>
      </c>
      <c r="AB77" s="93">
        <v>401.68</v>
      </c>
      <c r="AC77" s="92">
        <v>1.0103</v>
      </c>
      <c r="AD77" s="93">
        <v>1.7415</v>
      </c>
      <c r="AF77" s="94">
        <v>12</v>
      </c>
      <c r="AG77" s="84">
        <v>1.3076000000000001</v>
      </c>
      <c r="AH77" s="93">
        <v>1.0145</v>
      </c>
      <c r="AI77" s="84">
        <v>8.9800000000000004E-4</v>
      </c>
      <c r="AJ77" s="93">
        <v>2.5700000000000001E-2</v>
      </c>
      <c r="AK77" s="84">
        <v>218.6</v>
      </c>
      <c r="AL77" s="93">
        <v>421.3</v>
      </c>
      <c r="AM77" s="84">
        <v>1.0649999999999999</v>
      </c>
      <c r="AN77" s="93">
        <v>1.7869999999999999</v>
      </c>
      <c r="AP77" s="94">
        <v>22</v>
      </c>
      <c r="AQ77" s="90">
        <v>6.0030999999999999</v>
      </c>
      <c r="AR77" s="105"/>
      <c r="AS77" s="92">
        <v>1.3320000000000001E-3</v>
      </c>
      <c r="AT77" s="83">
        <v>4.7375000000000004E-3</v>
      </c>
      <c r="AU77" s="84">
        <v>262.93</v>
      </c>
      <c r="AV77" s="93">
        <v>403.26</v>
      </c>
      <c r="AW77" s="92">
        <v>1.2104999999999999</v>
      </c>
      <c r="AX77" s="93">
        <v>1.6859999999999999</v>
      </c>
      <c r="AZ77" s="94">
        <v>22</v>
      </c>
      <c r="BA77" s="90">
        <v>0.91369</v>
      </c>
      <c r="BB77" s="105"/>
      <c r="BC77" s="84">
        <v>1.6467999999999999E-3</v>
      </c>
      <c r="BD77" s="112">
        <v>0.14029</v>
      </c>
      <c r="BE77" s="84">
        <v>303.3</v>
      </c>
      <c r="BF77" s="93">
        <v>1481.5</v>
      </c>
      <c r="BG77" s="92">
        <v>1.361</v>
      </c>
      <c r="BH77" s="93">
        <v>5.3529</v>
      </c>
    </row>
    <row r="78" spans="2:60" x14ac:dyDescent="0.4">
      <c r="B78" s="100">
        <v>3</v>
      </c>
      <c r="C78" s="101">
        <f t="shared" ref="C78:J78" si="108">(C77+C79)/2</f>
        <v>0.66825000000000001</v>
      </c>
      <c r="D78" s="102">
        <f t="shared" si="108"/>
        <v>0.65809999999999991</v>
      </c>
      <c r="E78" s="101">
        <f t="shared" si="108"/>
        <v>8.786E-4</v>
      </c>
      <c r="F78" s="102">
        <f t="shared" si="108"/>
        <v>2.9949E-2</v>
      </c>
      <c r="G78" s="103">
        <f t="shared" si="108"/>
        <v>204.18</v>
      </c>
      <c r="H78" s="104">
        <f t="shared" si="108"/>
        <v>367.505</v>
      </c>
      <c r="I78" s="103">
        <f t="shared" si="108"/>
        <v>1.0150000000000001</v>
      </c>
      <c r="J78" s="104">
        <f t="shared" si="108"/>
        <v>1.6074999999999999</v>
      </c>
      <c r="L78" s="100">
        <v>3</v>
      </c>
      <c r="M78" s="103">
        <f t="shared" ref="M78:T78" si="109">(M77+M79)/2</f>
        <v>0.87949999999999995</v>
      </c>
      <c r="N78" s="104">
        <f t="shared" si="109"/>
        <v>0.87650000000000006</v>
      </c>
      <c r="O78" s="103">
        <f t="shared" si="109"/>
        <v>8.6250499999999996E-4</v>
      </c>
      <c r="P78" s="104">
        <f t="shared" si="109"/>
        <v>2.9837000000000002E-2</v>
      </c>
      <c r="Q78" s="103">
        <f t="shared" si="109"/>
        <v>204.58500000000001</v>
      </c>
      <c r="R78" s="104">
        <f t="shared" si="109"/>
        <v>422.61500000000001</v>
      </c>
      <c r="S78" s="103">
        <f t="shared" si="109"/>
        <v>1.0164499999999999</v>
      </c>
      <c r="T78" s="104">
        <f t="shared" si="109"/>
        <v>1.8062</v>
      </c>
      <c r="V78" s="79">
        <v>3</v>
      </c>
      <c r="W78" s="84">
        <v>0.68371000000000004</v>
      </c>
      <c r="X78" s="93">
        <v>0.57043999999999995</v>
      </c>
      <c r="Y78" s="92">
        <v>8.4281500210703754E-4</v>
      </c>
      <c r="Z78" s="83">
        <v>4.0548211823858572E-2</v>
      </c>
      <c r="AA78" s="84">
        <v>204.29</v>
      </c>
      <c r="AB78" s="93">
        <v>402.15</v>
      </c>
      <c r="AC78" s="92">
        <v>1.0154000000000001</v>
      </c>
      <c r="AD78" s="93">
        <v>1.7403999999999999</v>
      </c>
      <c r="AF78" s="94">
        <v>13</v>
      </c>
      <c r="AG78" s="84">
        <v>1.3431</v>
      </c>
      <c r="AH78" s="93">
        <v>1.0455000000000001</v>
      </c>
      <c r="AI78" s="84">
        <v>9.01E-4</v>
      </c>
      <c r="AJ78" s="93">
        <v>2.4899999999999999E-2</v>
      </c>
      <c r="AK78" s="84">
        <v>220.1</v>
      </c>
      <c r="AL78" s="93">
        <v>421.7</v>
      </c>
      <c r="AM78" s="84">
        <v>1.071</v>
      </c>
      <c r="AN78" s="93">
        <v>1.786</v>
      </c>
      <c r="AP78" s="79">
        <v>23</v>
      </c>
      <c r="AQ78" s="90">
        <v>6.1440000000000001</v>
      </c>
      <c r="AR78" s="105"/>
      <c r="AS78" s="92">
        <v>1.3542999999999999E-3</v>
      </c>
      <c r="AT78" s="83">
        <v>4.5326000000000003E-3</v>
      </c>
      <c r="AU78" s="84">
        <v>266.68</v>
      </c>
      <c r="AV78" s="93">
        <v>400.63</v>
      </c>
      <c r="AW78" s="92">
        <v>1.2224999999999999</v>
      </c>
      <c r="AX78" s="93">
        <v>1.6749000000000001</v>
      </c>
      <c r="AZ78" s="79">
        <v>23</v>
      </c>
      <c r="BA78" s="106">
        <f>(BA77+BA79)/2</f>
        <v>0.94318499999999994</v>
      </c>
      <c r="BB78" s="108"/>
      <c r="BC78" s="106">
        <f t="shared" ref="BC78:BH78" si="110">(BC77+BC79)/2</f>
        <v>1.6508499999999999E-3</v>
      </c>
      <c r="BD78" s="113">
        <f t="shared" si="110"/>
        <v>0.15115000000000001</v>
      </c>
      <c r="BE78" s="109">
        <f t="shared" si="110"/>
        <v>308.10000000000002</v>
      </c>
      <c r="BF78" s="110">
        <f t="shared" si="110"/>
        <v>1482.15</v>
      </c>
      <c r="BG78" s="109">
        <f t="shared" si="110"/>
        <v>1.3769499999999999</v>
      </c>
      <c r="BH78" s="110">
        <f t="shared" si="110"/>
        <v>5.3414999999999999</v>
      </c>
    </row>
    <row r="79" spans="2:60" x14ac:dyDescent="0.4">
      <c r="B79" s="94">
        <v>4</v>
      </c>
      <c r="C79" s="84">
        <v>0.68889999999999996</v>
      </c>
      <c r="D79" s="93">
        <v>0.67859999999999998</v>
      </c>
      <c r="E79" s="92">
        <v>8.8159999999999996E-4</v>
      </c>
      <c r="F79" s="83">
        <v>2.9003000000000001E-2</v>
      </c>
      <c r="G79" s="84">
        <v>205.58</v>
      </c>
      <c r="H79" s="93">
        <v>367.99</v>
      </c>
      <c r="I79" s="92">
        <v>1.02</v>
      </c>
      <c r="J79" s="93">
        <v>1.607</v>
      </c>
      <c r="L79" s="79">
        <v>4</v>
      </c>
      <c r="M79" s="84">
        <v>0.90700000000000003</v>
      </c>
      <c r="N79" s="93">
        <v>0.90400000000000003</v>
      </c>
      <c r="O79" s="111">
        <v>8.6552000000000005E-4</v>
      </c>
      <c r="P79" s="83">
        <v>2.8891E-2</v>
      </c>
      <c r="Q79" s="84">
        <v>206.12</v>
      </c>
      <c r="R79" s="93">
        <v>422.9</v>
      </c>
      <c r="S79" s="92">
        <v>1.0219</v>
      </c>
      <c r="T79" s="93">
        <v>1.8043</v>
      </c>
      <c r="V79" s="94">
        <v>4</v>
      </c>
      <c r="W79" s="84">
        <v>0.70530999999999999</v>
      </c>
      <c r="X79" s="93">
        <v>0.58960999999999997</v>
      </c>
      <c r="Y79" s="92">
        <v>8.4545147108555977E-4</v>
      </c>
      <c r="Z79" s="83">
        <v>3.9241847506180587E-2</v>
      </c>
      <c r="AA79" s="84">
        <v>205.73</v>
      </c>
      <c r="AB79" s="93">
        <v>402.62</v>
      </c>
      <c r="AC79" s="92">
        <v>1.0206</v>
      </c>
      <c r="AD79" s="93">
        <v>1.7393000000000001</v>
      </c>
      <c r="AF79" s="94">
        <v>14</v>
      </c>
      <c r="AG79" s="84">
        <v>1.3794</v>
      </c>
      <c r="AH79" s="93">
        <v>1.0771999999999999</v>
      </c>
      <c r="AI79" s="84">
        <v>9.0499999999999999E-4</v>
      </c>
      <c r="AJ79" s="93">
        <v>2.4199999999999999E-2</v>
      </c>
      <c r="AK79" s="84">
        <v>221.7</v>
      </c>
      <c r="AL79" s="93">
        <v>422</v>
      </c>
      <c r="AM79" s="84">
        <v>1.0760000000000001</v>
      </c>
      <c r="AN79" s="93">
        <v>1.784</v>
      </c>
      <c r="AP79" s="94">
        <v>24</v>
      </c>
      <c r="AQ79" s="90">
        <v>6.2877000000000001</v>
      </c>
      <c r="AR79" s="105"/>
      <c r="AS79" s="92">
        <v>1.3793E-3</v>
      </c>
      <c r="AT79" s="83">
        <v>4.3271999999999998E-3</v>
      </c>
      <c r="AU79" s="84">
        <v>270.61</v>
      </c>
      <c r="AV79" s="93">
        <v>397.7</v>
      </c>
      <c r="AW79" s="92">
        <v>1.2352000000000001</v>
      </c>
      <c r="AX79" s="93">
        <v>1.6629</v>
      </c>
      <c r="AZ79" s="94">
        <v>24</v>
      </c>
      <c r="BA79" s="90">
        <v>0.97267999999999999</v>
      </c>
      <c r="BB79" s="105"/>
      <c r="BC79" s="84">
        <v>1.6548999999999999E-3</v>
      </c>
      <c r="BD79" s="112">
        <v>0.16200999999999999</v>
      </c>
      <c r="BE79" s="84">
        <v>312.89999999999998</v>
      </c>
      <c r="BF79" s="93">
        <v>1482.8</v>
      </c>
      <c r="BG79" s="92">
        <v>1.3929</v>
      </c>
      <c r="BH79" s="93">
        <v>5.3300999999999998</v>
      </c>
    </row>
    <row r="80" spans="2:60" x14ac:dyDescent="0.4">
      <c r="B80" s="100">
        <v>5</v>
      </c>
      <c r="C80" s="101">
        <f t="shared" ref="C80:J80" si="111">(C79+C81)/2</f>
        <v>0.71055000000000001</v>
      </c>
      <c r="D80" s="102">
        <f t="shared" si="111"/>
        <v>0.70005000000000006</v>
      </c>
      <c r="E80" s="101">
        <f t="shared" si="111"/>
        <v>8.8469999999999998E-4</v>
      </c>
      <c r="F80" s="102">
        <f t="shared" si="111"/>
        <v>2.8123000000000002E-2</v>
      </c>
      <c r="G80" s="103">
        <f t="shared" si="111"/>
        <v>206.99</v>
      </c>
      <c r="H80" s="104">
        <f t="shared" si="111"/>
        <v>368.46500000000003</v>
      </c>
      <c r="I80" s="103">
        <f t="shared" si="111"/>
        <v>1.0249999999999999</v>
      </c>
      <c r="J80" s="104">
        <f t="shared" si="111"/>
        <v>1.6065</v>
      </c>
      <c r="L80" s="100">
        <v>5</v>
      </c>
      <c r="M80" s="103">
        <f t="shared" ref="M80:T80" si="112">(M79+M81)/2</f>
        <v>0.9355</v>
      </c>
      <c r="N80" s="104">
        <f t="shared" si="112"/>
        <v>0.9325</v>
      </c>
      <c r="O80" s="103">
        <f t="shared" si="112"/>
        <v>8.6862500000000004E-4</v>
      </c>
      <c r="P80" s="104">
        <f t="shared" si="112"/>
        <v>2.8011000000000001E-2</v>
      </c>
      <c r="Q80" s="103">
        <f t="shared" si="112"/>
        <v>207.67000000000002</v>
      </c>
      <c r="R80" s="104">
        <f t="shared" si="112"/>
        <v>423.17499999999995</v>
      </c>
      <c r="S80" s="103">
        <f t="shared" si="112"/>
        <v>1.0274000000000001</v>
      </c>
      <c r="T80" s="104">
        <f t="shared" si="112"/>
        <v>1.8024</v>
      </c>
      <c r="V80" s="79">
        <v>5</v>
      </c>
      <c r="W80" s="84">
        <v>0.72743000000000002</v>
      </c>
      <c r="X80" s="93">
        <v>0.60926999999999998</v>
      </c>
      <c r="Y80" s="92">
        <v>8.4817642069550466E-4</v>
      </c>
      <c r="Z80" s="83">
        <v>3.7983818893151514E-2</v>
      </c>
      <c r="AA80" s="84">
        <v>207.17</v>
      </c>
      <c r="AB80" s="93">
        <v>403.09</v>
      </c>
      <c r="AC80" s="92">
        <v>1.0257000000000001</v>
      </c>
      <c r="AD80" s="93">
        <v>1.7383</v>
      </c>
      <c r="AF80" s="94">
        <v>15</v>
      </c>
      <c r="AG80" s="84">
        <v>1.4162999999999999</v>
      </c>
      <c r="AH80" s="93">
        <v>1.1096999999999999</v>
      </c>
      <c r="AI80" s="84">
        <v>9.0799999999999995E-4</v>
      </c>
      <c r="AJ80" s="93">
        <v>2.3400000000000001E-2</v>
      </c>
      <c r="AK80" s="84">
        <v>223.3</v>
      </c>
      <c r="AL80" s="93">
        <v>422.2</v>
      </c>
      <c r="AM80" s="84">
        <v>1.0820000000000001</v>
      </c>
      <c r="AN80" s="93">
        <v>1.782</v>
      </c>
      <c r="AP80" s="79">
        <v>25</v>
      </c>
      <c r="AQ80" s="90">
        <v>6.4341999999999997</v>
      </c>
      <c r="AR80" s="105"/>
      <c r="AS80" s="92">
        <v>1.4074999999999999E-3</v>
      </c>
      <c r="AT80" s="83">
        <v>4.1197999999999999E-3</v>
      </c>
      <c r="AU80" s="84">
        <v>274.77999999999997</v>
      </c>
      <c r="AV80" s="93">
        <v>394.43</v>
      </c>
      <c r="AW80" s="92">
        <v>1.2484999999999999</v>
      </c>
      <c r="AX80" s="93">
        <v>1.6497999999999999</v>
      </c>
      <c r="AZ80" s="79">
        <v>25</v>
      </c>
      <c r="BA80" s="106">
        <f>(BA79+BA81)/2</f>
        <v>1.0036049999999999</v>
      </c>
      <c r="BB80" s="108"/>
      <c r="BC80" s="106">
        <f t="shared" ref="BC80:BH80" si="113">(BC79+BC81)/2</f>
        <v>1.65905E-3</v>
      </c>
      <c r="BD80" s="113">
        <f t="shared" si="113"/>
        <v>0.14316000000000001</v>
      </c>
      <c r="BE80" s="109">
        <f t="shared" si="113"/>
        <v>317.7</v>
      </c>
      <c r="BF80" s="110">
        <f t="shared" si="113"/>
        <v>1483.4</v>
      </c>
      <c r="BG80" s="109">
        <f t="shared" si="113"/>
        <v>1.4088500000000002</v>
      </c>
      <c r="BH80" s="110">
        <f t="shared" si="113"/>
        <v>5.3188499999999994</v>
      </c>
    </row>
    <row r="81" spans="2:60" x14ac:dyDescent="0.4">
      <c r="B81" s="79">
        <v>6</v>
      </c>
      <c r="C81" s="84">
        <v>0.73219999999999996</v>
      </c>
      <c r="D81" s="93">
        <v>0.72150000000000003</v>
      </c>
      <c r="E81" s="92">
        <v>8.878E-4</v>
      </c>
      <c r="F81" s="83">
        <v>2.7243E-2</v>
      </c>
      <c r="G81" s="84">
        <v>208.4</v>
      </c>
      <c r="H81" s="93">
        <v>368.94</v>
      </c>
      <c r="I81" s="92">
        <v>1.03</v>
      </c>
      <c r="J81" s="93">
        <v>1.6060000000000001</v>
      </c>
      <c r="L81" s="79">
        <v>6</v>
      </c>
      <c r="M81" s="84">
        <v>0.96399999999999997</v>
      </c>
      <c r="N81" s="93">
        <v>0.96099999999999997</v>
      </c>
      <c r="O81" s="111">
        <v>8.7173000000000003E-4</v>
      </c>
      <c r="P81" s="83">
        <v>2.7130999999999999E-2</v>
      </c>
      <c r="Q81" s="84">
        <v>209.22</v>
      </c>
      <c r="R81" s="93">
        <v>423.45</v>
      </c>
      <c r="S81" s="92">
        <v>1.0328999999999999</v>
      </c>
      <c r="T81" s="93">
        <v>1.8005</v>
      </c>
      <c r="V81" s="94">
        <v>6</v>
      </c>
      <c r="W81" s="84">
        <v>0.75004999999999999</v>
      </c>
      <c r="X81" s="93">
        <v>0.62941999999999998</v>
      </c>
      <c r="Y81" s="92">
        <v>8.5091899251191281E-4</v>
      </c>
      <c r="Z81" s="83">
        <v>3.6772817533279399E-2</v>
      </c>
      <c r="AA81" s="84">
        <v>208.62</v>
      </c>
      <c r="AB81" s="93">
        <v>403.55</v>
      </c>
      <c r="AC81" s="92">
        <v>1.0307999999999999</v>
      </c>
      <c r="AD81" s="93">
        <v>1.7372000000000001</v>
      </c>
      <c r="AF81" s="94">
        <v>16</v>
      </c>
      <c r="AG81" s="84">
        <v>1.454</v>
      </c>
      <c r="AH81" s="93">
        <v>1.1429</v>
      </c>
      <c r="AI81" s="84">
        <v>9.1200000000000005E-4</v>
      </c>
      <c r="AJ81" s="93">
        <v>2.2700000000000001E-2</v>
      </c>
      <c r="AK81" s="84">
        <v>224.9</v>
      </c>
      <c r="AL81" s="93">
        <v>422.5</v>
      </c>
      <c r="AM81" s="84">
        <v>1.087</v>
      </c>
      <c r="AN81" s="93">
        <v>1.7809999999999999</v>
      </c>
      <c r="AP81" s="94">
        <v>26</v>
      </c>
      <c r="AQ81" s="90">
        <v>6.5837000000000003</v>
      </c>
      <c r="AR81" s="105"/>
      <c r="AS81" s="92">
        <v>1.4400000000000001E-3</v>
      </c>
      <c r="AT81" s="83">
        <v>3.9083E-3</v>
      </c>
      <c r="AU81" s="84">
        <v>279.26</v>
      </c>
      <c r="AV81" s="93">
        <v>390.71</v>
      </c>
      <c r="AW81" s="92">
        <v>1.2626999999999999</v>
      </c>
      <c r="AX81" s="93">
        <v>1.6353</v>
      </c>
      <c r="AZ81" s="94">
        <v>26</v>
      </c>
      <c r="BA81" s="90">
        <v>1.0345299999999999</v>
      </c>
      <c r="BB81" s="105"/>
      <c r="BC81" s="84">
        <v>1.6632000000000001E-3</v>
      </c>
      <c r="BD81" s="112">
        <v>0.12431</v>
      </c>
      <c r="BE81" s="84">
        <v>322.5</v>
      </c>
      <c r="BF81" s="93">
        <v>1484</v>
      </c>
      <c r="BG81" s="92">
        <v>1.4248000000000001</v>
      </c>
      <c r="BH81" s="93">
        <v>5.3075999999999999</v>
      </c>
    </row>
    <row r="82" spans="2:60" x14ac:dyDescent="0.4">
      <c r="B82" s="114">
        <v>7</v>
      </c>
      <c r="C82" s="101">
        <f t="shared" ref="C82:J82" si="114">(C81+C83)/2</f>
        <v>0.75479999999999992</v>
      </c>
      <c r="D82" s="102">
        <f t="shared" si="114"/>
        <v>0.74395</v>
      </c>
      <c r="E82" s="101">
        <f t="shared" si="114"/>
        <v>8.9100000000000008E-4</v>
      </c>
      <c r="F82" s="102">
        <f t="shared" si="114"/>
        <v>2.6424E-2</v>
      </c>
      <c r="G82" s="103">
        <f t="shared" si="114"/>
        <v>209.82</v>
      </c>
      <c r="H82" s="104">
        <f t="shared" si="114"/>
        <v>369.40499999999997</v>
      </c>
      <c r="I82" s="103">
        <f t="shared" si="114"/>
        <v>1.0350000000000001</v>
      </c>
      <c r="J82" s="104">
        <f t="shared" si="114"/>
        <v>1.6055000000000001</v>
      </c>
      <c r="L82" s="100">
        <v>7</v>
      </c>
      <c r="M82" s="103">
        <f t="shared" ref="M82:T82" si="115">(M81+M83)/2</f>
        <v>0.99399999999999999</v>
      </c>
      <c r="N82" s="104">
        <f t="shared" si="115"/>
        <v>0.99099999999999988</v>
      </c>
      <c r="O82" s="103">
        <f t="shared" si="115"/>
        <v>8.7492500000000003E-4</v>
      </c>
      <c r="P82" s="104">
        <f t="shared" si="115"/>
        <v>2.6311500000000002E-2</v>
      </c>
      <c r="Q82" s="103">
        <f t="shared" si="115"/>
        <v>210.77500000000001</v>
      </c>
      <c r="R82" s="104">
        <f t="shared" si="115"/>
        <v>423.71000000000004</v>
      </c>
      <c r="S82" s="103">
        <f t="shared" si="115"/>
        <v>1.0383499999999999</v>
      </c>
      <c r="T82" s="104">
        <f t="shared" si="115"/>
        <v>1.7986</v>
      </c>
      <c r="V82" s="79">
        <v>7</v>
      </c>
      <c r="W82" s="84">
        <v>0.7732</v>
      </c>
      <c r="X82" s="93">
        <v>0.65007000000000004</v>
      </c>
      <c r="Y82" s="92">
        <v>8.5375224109963293E-4</v>
      </c>
      <c r="Z82" s="83">
        <v>3.5607463324312777E-2</v>
      </c>
      <c r="AA82" s="84">
        <v>210.07</v>
      </c>
      <c r="AB82" s="93">
        <v>404</v>
      </c>
      <c r="AC82" s="92">
        <v>1.0359</v>
      </c>
      <c r="AD82" s="93">
        <v>1.7362</v>
      </c>
      <c r="AF82" s="94">
        <v>17</v>
      </c>
      <c r="AG82" s="84">
        <v>1.4923</v>
      </c>
      <c r="AH82" s="93">
        <v>1.1769000000000001</v>
      </c>
      <c r="AI82" s="84">
        <v>9.1600000000000004E-4</v>
      </c>
      <c r="AJ82" s="93">
        <v>2.1999999999999999E-2</v>
      </c>
      <c r="AK82" s="84">
        <v>226.5</v>
      </c>
      <c r="AL82" s="93">
        <v>422.8</v>
      </c>
      <c r="AM82" s="84">
        <v>1.0920000000000001</v>
      </c>
      <c r="AN82" s="93">
        <v>1.7789999999999999</v>
      </c>
      <c r="AP82" s="79">
        <v>27</v>
      </c>
      <c r="AQ82" s="90">
        <v>6.7361000000000004</v>
      </c>
      <c r="AR82" s="105"/>
      <c r="AS82" s="92">
        <v>1.4785E-3</v>
      </c>
      <c r="AT82" s="83">
        <v>3.6898E-3</v>
      </c>
      <c r="AU82" s="84">
        <v>284.14</v>
      </c>
      <c r="AV82" s="93">
        <v>386.39</v>
      </c>
      <c r="AW82" s="92">
        <v>1.2783</v>
      </c>
      <c r="AX82" s="93">
        <v>1.6189</v>
      </c>
      <c r="AZ82" s="79">
        <v>27</v>
      </c>
      <c r="BA82" s="106">
        <f>(BA81+BA83)/2</f>
        <v>1.066935</v>
      </c>
      <c r="BB82" s="108"/>
      <c r="BC82" s="106">
        <f t="shared" ref="BC82:BH82" si="116">(BC81+BC83)/2</f>
        <v>1.6674000000000001E-3</v>
      </c>
      <c r="BD82" s="113">
        <f t="shared" si="116"/>
        <v>0.120725</v>
      </c>
      <c r="BE82" s="109">
        <f t="shared" si="116"/>
        <v>327.3</v>
      </c>
      <c r="BF82" s="110">
        <f t="shared" si="116"/>
        <v>1484.55</v>
      </c>
      <c r="BG82" s="109">
        <f t="shared" si="116"/>
        <v>1.44065</v>
      </c>
      <c r="BH82" s="110">
        <f t="shared" si="116"/>
        <v>5.2964500000000001</v>
      </c>
    </row>
    <row r="83" spans="2:60" x14ac:dyDescent="0.4">
      <c r="B83" s="79">
        <v>8</v>
      </c>
      <c r="C83" s="84">
        <v>0.77739999999999998</v>
      </c>
      <c r="D83" s="93">
        <v>0.76639999999999997</v>
      </c>
      <c r="E83" s="92">
        <v>8.9420000000000005E-4</v>
      </c>
      <c r="F83" s="83">
        <v>2.5604999999999999E-2</v>
      </c>
      <c r="G83" s="84">
        <v>211.24</v>
      </c>
      <c r="H83" s="93">
        <v>369.87</v>
      </c>
      <c r="I83" s="92">
        <v>1.04</v>
      </c>
      <c r="J83" s="93">
        <v>1.605</v>
      </c>
      <c r="L83" s="79">
        <v>8</v>
      </c>
      <c r="M83" s="84">
        <v>1.024</v>
      </c>
      <c r="N83" s="93">
        <v>1.0209999999999999</v>
      </c>
      <c r="O83" s="111">
        <v>8.7812000000000003E-4</v>
      </c>
      <c r="P83" s="83">
        <v>2.5492000000000001E-2</v>
      </c>
      <c r="Q83" s="84">
        <v>212.33</v>
      </c>
      <c r="R83" s="93">
        <v>423.97</v>
      </c>
      <c r="S83" s="92">
        <v>1.0438000000000001</v>
      </c>
      <c r="T83" s="93">
        <v>1.7967</v>
      </c>
      <c r="V83" s="94">
        <v>8</v>
      </c>
      <c r="W83" s="84">
        <v>0.79686999999999997</v>
      </c>
      <c r="X83" s="93">
        <v>0.67122999999999999</v>
      </c>
      <c r="Y83" s="92">
        <v>8.5653104925053529E-4</v>
      </c>
      <c r="Z83" s="83">
        <v>3.4483947722335255E-2</v>
      </c>
      <c r="AA83" s="84">
        <v>211.52</v>
      </c>
      <c r="AB83" s="93">
        <v>404.46</v>
      </c>
      <c r="AC83" s="92">
        <v>1.0409999999999999</v>
      </c>
      <c r="AD83" s="93">
        <v>1.7351000000000001</v>
      </c>
      <c r="AF83" s="94">
        <v>18</v>
      </c>
      <c r="AG83" s="84">
        <v>1.5315000000000001</v>
      </c>
      <c r="AH83" s="93">
        <v>1.2116</v>
      </c>
      <c r="AI83" s="84">
        <v>9.2000000000000003E-4</v>
      </c>
      <c r="AJ83" s="93">
        <v>2.1399999999999999E-2</v>
      </c>
      <c r="AK83" s="84">
        <v>228.2</v>
      </c>
      <c r="AL83" s="93">
        <v>423.1</v>
      </c>
      <c r="AM83" s="84">
        <v>1.0980000000000001</v>
      </c>
      <c r="AN83" s="93">
        <v>1.7769999999999999</v>
      </c>
      <c r="AP83" s="94">
        <v>28</v>
      </c>
      <c r="AQ83" s="90">
        <v>6.8917999999999999</v>
      </c>
      <c r="AR83" s="105"/>
      <c r="AS83" s="92">
        <v>1.5261E-2</v>
      </c>
      <c r="AT83" s="83">
        <v>3.4589E-3</v>
      </c>
      <c r="AU83" s="84">
        <v>289.62</v>
      </c>
      <c r="AV83" s="93">
        <v>381.2</v>
      </c>
      <c r="AW83" s="92">
        <v>1.2958000000000001</v>
      </c>
      <c r="AX83" s="93">
        <v>1.5999000000000001</v>
      </c>
      <c r="AZ83" s="94">
        <v>28</v>
      </c>
      <c r="BA83" s="90">
        <v>1.09934</v>
      </c>
      <c r="BB83" s="105"/>
      <c r="BC83" s="84">
        <v>1.6716000000000001E-3</v>
      </c>
      <c r="BD83" s="112">
        <v>0.11713999999999999</v>
      </c>
      <c r="BE83" s="84">
        <v>332.1</v>
      </c>
      <c r="BF83" s="93">
        <v>1485.1</v>
      </c>
      <c r="BG83" s="92">
        <v>1.4564999999999999</v>
      </c>
      <c r="BH83" s="93">
        <v>5.2853000000000003</v>
      </c>
    </row>
    <row r="84" spans="2:60" x14ac:dyDescent="0.4">
      <c r="B84" s="100">
        <v>9</v>
      </c>
      <c r="C84" s="101">
        <f t="shared" ref="C84:J84" si="117">(C83+C85)/2</f>
        <v>0.60104999999999997</v>
      </c>
      <c r="D84" s="102">
        <f t="shared" si="117"/>
        <v>0.78990000000000005</v>
      </c>
      <c r="E84" s="101">
        <f t="shared" si="117"/>
        <v>8.9750000000000008E-4</v>
      </c>
      <c r="F84" s="102">
        <f t="shared" si="117"/>
        <v>2.4841000000000002E-2</v>
      </c>
      <c r="G84" s="103">
        <f t="shared" si="117"/>
        <v>212.66500000000002</v>
      </c>
      <c r="H84" s="104">
        <f t="shared" si="117"/>
        <v>370.32499999999999</v>
      </c>
      <c r="I84" s="103">
        <f t="shared" si="117"/>
        <v>1.0449999999999999</v>
      </c>
      <c r="J84" s="104">
        <f t="shared" si="117"/>
        <v>1.6045</v>
      </c>
      <c r="L84" s="100">
        <v>9</v>
      </c>
      <c r="M84" s="103">
        <f t="shared" ref="M84:T84" si="118">(M83+M85)/2</f>
        <v>1.0554999999999999</v>
      </c>
      <c r="N84" s="104">
        <f t="shared" si="118"/>
        <v>1.0525</v>
      </c>
      <c r="O84" s="103">
        <f t="shared" si="118"/>
        <v>8.8141499999999998E-4</v>
      </c>
      <c r="P84" s="104">
        <f t="shared" si="118"/>
        <v>2.4728E-2</v>
      </c>
      <c r="Q84" s="103">
        <f t="shared" si="118"/>
        <v>213.89500000000001</v>
      </c>
      <c r="R84" s="104">
        <f t="shared" si="118"/>
        <v>424.21000000000004</v>
      </c>
      <c r="S84" s="103">
        <f t="shared" si="118"/>
        <v>1.04925</v>
      </c>
      <c r="T84" s="104">
        <f t="shared" si="118"/>
        <v>1.7948499999999998</v>
      </c>
      <c r="V84" s="79">
        <v>9</v>
      </c>
      <c r="W84" s="84">
        <v>0.82108000000000003</v>
      </c>
      <c r="X84" s="93">
        <v>0.69291000000000003</v>
      </c>
      <c r="Y84" s="92">
        <v>8.5940185630800972E-4</v>
      </c>
      <c r="Z84" s="83">
        <v>3.3402364887434033E-2</v>
      </c>
      <c r="AA84" s="84">
        <v>212.98</v>
      </c>
      <c r="AB84" s="93">
        <v>404.9</v>
      </c>
      <c r="AC84" s="92">
        <v>1</v>
      </c>
      <c r="AD84" s="93">
        <v>1.7341</v>
      </c>
      <c r="AF84" s="94">
        <v>19</v>
      </c>
      <c r="AG84" s="84">
        <v>1.5712999999999999</v>
      </c>
      <c r="AH84" s="93">
        <v>1.2471000000000001</v>
      </c>
      <c r="AI84" s="84">
        <v>9.2299999999999999E-4</v>
      </c>
      <c r="AJ84" s="93">
        <v>2.07E-2</v>
      </c>
      <c r="AK84" s="84">
        <v>229.8</v>
      </c>
      <c r="AL84" s="93">
        <v>423.3</v>
      </c>
      <c r="AM84" s="84">
        <v>1.103</v>
      </c>
      <c r="AN84" s="93">
        <v>1.776</v>
      </c>
      <c r="AP84" s="79">
        <v>29</v>
      </c>
      <c r="AQ84" s="116">
        <v>7.0509000000000004</v>
      </c>
      <c r="AR84" s="117"/>
      <c r="AS84" s="118">
        <v>1.5889000000000001E-3</v>
      </c>
      <c r="AT84" s="119">
        <v>3.2047999999999998E-3</v>
      </c>
      <c r="AU84" s="120">
        <v>296.07</v>
      </c>
      <c r="AV84" s="121">
        <v>374.61</v>
      </c>
      <c r="AW84" s="118">
        <v>1.3163</v>
      </c>
      <c r="AX84" s="121">
        <v>1.5763</v>
      </c>
      <c r="AZ84" s="79">
        <v>29</v>
      </c>
      <c r="BA84" s="106">
        <f>(BA83+BA85)/2</f>
        <v>1.13327</v>
      </c>
      <c r="BB84" s="122"/>
      <c r="BC84" s="106">
        <f t="shared" ref="BC84:BH84" si="119">(BC83+BC85)/2</f>
        <v>1.6759000000000001E-3</v>
      </c>
      <c r="BD84" s="113">
        <f t="shared" si="119"/>
        <v>0.1138</v>
      </c>
      <c r="BE84" s="109">
        <f t="shared" si="119"/>
        <v>336.95000000000005</v>
      </c>
      <c r="BF84" s="110">
        <f t="shared" si="119"/>
        <v>1485.65</v>
      </c>
      <c r="BG84" s="109">
        <f t="shared" si="119"/>
        <v>1.4722999999999999</v>
      </c>
      <c r="BH84" s="110">
        <f t="shared" si="119"/>
        <v>5.2742000000000004</v>
      </c>
    </row>
    <row r="85" spans="2:60" ht="16.5" thickBot="1" x14ac:dyDescent="0.45">
      <c r="B85" s="94">
        <v>10</v>
      </c>
      <c r="C85" s="84">
        <v>0.42470000000000002</v>
      </c>
      <c r="D85" s="93">
        <v>0.81340000000000001</v>
      </c>
      <c r="E85" s="92">
        <v>9.0079999999999999E-4</v>
      </c>
      <c r="F85" s="83">
        <v>2.4077000000000001E-2</v>
      </c>
      <c r="G85" s="84">
        <v>214.09</v>
      </c>
      <c r="H85" s="93">
        <v>370.78</v>
      </c>
      <c r="I85" s="92">
        <v>1.05</v>
      </c>
      <c r="J85" s="93">
        <v>1.6040000000000001</v>
      </c>
      <c r="L85" s="79">
        <v>10</v>
      </c>
      <c r="M85" s="84">
        <v>1.087</v>
      </c>
      <c r="N85" s="93">
        <v>1.0840000000000001</v>
      </c>
      <c r="O85" s="111">
        <v>8.8471000000000003E-4</v>
      </c>
      <c r="P85" s="83">
        <v>2.3963999999999999E-2</v>
      </c>
      <c r="Q85" s="84">
        <v>215.46</v>
      </c>
      <c r="R85" s="93">
        <v>424.45</v>
      </c>
      <c r="S85" s="92">
        <v>1.0547</v>
      </c>
      <c r="T85" s="93">
        <v>1.7929999999999999</v>
      </c>
      <c r="V85" s="94">
        <v>10</v>
      </c>
      <c r="W85" s="84">
        <v>0.84584000000000004</v>
      </c>
      <c r="X85" s="93">
        <v>0.71511999999999998</v>
      </c>
      <c r="Y85" s="92">
        <v>8.6229197206174008E-4</v>
      </c>
      <c r="Z85" s="83">
        <v>3.236036502491748E-2</v>
      </c>
      <c r="AA85" s="84">
        <v>214.45</v>
      </c>
      <c r="AB85" s="93">
        <v>405.34</v>
      </c>
      <c r="AC85" s="92">
        <v>1.0512999999999999</v>
      </c>
      <c r="AD85" s="93">
        <v>1.7331000000000001</v>
      </c>
      <c r="AF85" s="94">
        <v>20</v>
      </c>
      <c r="AG85" s="84">
        <v>1.6120000000000001</v>
      </c>
      <c r="AH85" s="93">
        <v>1.2834000000000001</v>
      </c>
      <c r="AI85" s="84">
        <v>9.2699999999999998E-4</v>
      </c>
      <c r="AJ85" s="93">
        <v>2.01E-2</v>
      </c>
      <c r="AK85" s="84">
        <v>231.4</v>
      </c>
      <c r="AL85" s="93">
        <v>423.6</v>
      </c>
      <c r="AM85" s="84">
        <v>1.109</v>
      </c>
      <c r="AN85" s="93">
        <v>1.774</v>
      </c>
      <c r="AP85" s="123">
        <v>30</v>
      </c>
      <c r="AQ85" s="124">
        <v>7.2137000000000002</v>
      </c>
      <c r="AR85" s="125"/>
      <c r="AS85" s="126">
        <v>1.6854999999999999E-3</v>
      </c>
      <c r="AT85" s="127">
        <v>2.8977E-3</v>
      </c>
      <c r="AU85" s="128">
        <v>304.55</v>
      </c>
      <c r="AV85" s="129">
        <v>365.13</v>
      </c>
      <c r="AW85" s="126">
        <v>1.3434999999999999</v>
      </c>
      <c r="AX85" s="129">
        <v>1.5432999999999999</v>
      </c>
      <c r="AZ85" s="94">
        <v>30</v>
      </c>
      <c r="BA85" s="90">
        <v>1.1672</v>
      </c>
      <c r="BB85" s="105"/>
      <c r="BC85" s="84">
        <v>1.6802E-3</v>
      </c>
      <c r="BD85" s="130">
        <v>0.11046</v>
      </c>
      <c r="BE85" s="84">
        <v>341.8</v>
      </c>
      <c r="BF85" s="93">
        <v>1486.2</v>
      </c>
      <c r="BG85" s="92">
        <v>1.4881</v>
      </c>
      <c r="BH85" s="93">
        <v>5.2630999999999997</v>
      </c>
    </row>
    <row r="86" spans="2:60" x14ac:dyDescent="0.4">
      <c r="B86" s="100">
        <v>11</v>
      </c>
      <c r="C86" s="101">
        <f t="shared" ref="C86:J86" si="120">(C85+C87)/2</f>
        <v>0.64939999999999998</v>
      </c>
      <c r="D86" s="102">
        <f t="shared" si="120"/>
        <v>0.83800000000000008</v>
      </c>
      <c r="E86" s="101">
        <f t="shared" si="120"/>
        <v>9.0415000000000005E-4</v>
      </c>
      <c r="F86" s="102">
        <f t="shared" si="120"/>
        <v>2.33645E-2</v>
      </c>
      <c r="G86" s="103">
        <f t="shared" si="120"/>
        <v>215.53</v>
      </c>
      <c r="H86" s="104">
        <f t="shared" si="120"/>
        <v>371.22</v>
      </c>
      <c r="I86" s="103">
        <f t="shared" si="120"/>
        <v>1.0550000000000002</v>
      </c>
      <c r="J86" s="104">
        <f t="shared" si="120"/>
        <v>1.6034999999999999</v>
      </c>
      <c r="L86" s="100">
        <v>11</v>
      </c>
      <c r="M86" s="103">
        <f t="shared" ref="M86:T86" si="121">(M85+M87)/2</f>
        <v>1.1200000000000001</v>
      </c>
      <c r="N86" s="104">
        <f t="shared" si="121"/>
        <v>1.1165</v>
      </c>
      <c r="O86" s="103">
        <f t="shared" si="121"/>
        <v>8.8811000000000001E-4</v>
      </c>
      <c r="P86" s="104">
        <f t="shared" si="121"/>
        <v>2.3251500000000001E-2</v>
      </c>
      <c r="Q86" s="103">
        <f t="shared" si="121"/>
        <v>217.04000000000002</v>
      </c>
      <c r="R86" s="104">
        <f t="shared" si="121"/>
        <v>424.67499999999995</v>
      </c>
      <c r="S86" s="103">
        <f t="shared" si="121"/>
        <v>1.0601500000000001</v>
      </c>
      <c r="T86" s="104">
        <f t="shared" si="121"/>
        <v>1.7910999999999999</v>
      </c>
      <c r="V86" s="79">
        <v>11</v>
      </c>
      <c r="W86" s="84">
        <v>0.87114000000000003</v>
      </c>
      <c r="X86" s="93">
        <v>0.73785999999999996</v>
      </c>
      <c r="Y86" s="92">
        <v>8.6527645582763692E-4</v>
      </c>
      <c r="Z86" s="83">
        <v>3.1354842755463581E-2</v>
      </c>
      <c r="AA86" s="84">
        <v>215.92</v>
      </c>
      <c r="AB86" s="93">
        <v>405.78</v>
      </c>
      <c r="AC86" s="92">
        <v>1.0564</v>
      </c>
      <c r="AD86" s="93">
        <v>1.7321</v>
      </c>
      <c r="AF86" s="94">
        <v>21</v>
      </c>
      <c r="AG86" s="84">
        <v>1.6534</v>
      </c>
      <c r="AH86" s="93">
        <v>1.3205</v>
      </c>
      <c r="AI86" s="84">
        <v>9.3099999999999997E-4</v>
      </c>
      <c r="AJ86" s="93">
        <v>1.95E-2</v>
      </c>
      <c r="AK86" s="84">
        <v>233</v>
      </c>
      <c r="AL86" s="93">
        <v>423.8</v>
      </c>
      <c r="AM86" s="84">
        <v>1.1140000000000001</v>
      </c>
      <c r="AN86" s="93">
        <v>1.772</v>
      </c>
      <c r="AZ86" s="94">
        <v>31</v>
      </c>
      <c r="BA86" s="106">
        <f>(BA85+BA87)/2</f>
        <v>1.2026949999999998</v>
      </c>
      <c r="BB86" s="131"/>
      <c r="BC86" s="106">
        <f t="shared" ref="BC86:BH86" si="122">(BC85+BC87)/2</f>
        <v>1.6846000000000001E-3</v>
      </c>
      <c r="BD86" s="113">
        <f t="shared" si="122"/>
        <v>0.10733999999999999</v>
      </c>
      <c r="BE86" s="109">
        <f t="shared" si="122"/>
        <v>346.65</v>
      </c>
      <c r="BF86" s="110">
        <f t="shared" si="122"/>
        <v>1486.65</v>
      </c>
      <c r="BG86" s="109">
        <f t="shared" si="122"/>
        <v>1.5038499999999999</v>
      </c>
      <c r="BH86" s="110">
        <f t="shared" si="122"/>
        <v>5.2521500000000003</v>
      </c>
    </row>
    <row r="87" spans="2:60" x14ac:dyDescent="0.4">
      <c r="B87" s="79">
        <v>12</v>
      </c>
      <c r="C87" s="84">
        <v>0.87409999999999999</v>
      </c>
      <c r="D87" s="93">
        <v>0.86260000000000003</v>
      </c>
      <c r="E87" s="92">
        <v>9.075E-4</v>
      </c>
      <c r="F87" s="83">
        <v>2.2651999999999999E-2</v>
      </c>
      <c r="G87" s="84">
        <v>216.97</v>
      </c>
      <c r="H87" s="93">
        <v>371.66</v>
      </c>
      <c r="I87" s="92">
        <v>1.06</v>
      </c>
      <c r="J87" s="93">
        <v>1.603</v>
      </c>
      <c r="L87" s="79">
        <v>12</v>
      </c>
      <c r="M87" s="84">
        <v>1.153</v>
      </c>
      <c r="N87" s="93">
        <v>1.149</v>
      </c>
      <c r="O87" s="111">
        <v>8.9150999999999998E-4</v>
      </c>
      <c r="P87" s="83">
        <v>2.2539E-2</v>
      </c>
      <c r="Q87" s="84">
        <v>218.62</v>
      </c>
      <c r="R87" s="93">
        <v>424.9</v>
      </c>
      <c r="S87" s="92">
        <v>1.0656000000000001</v>
      </c>
      <c r="T87" s="93">
        <v>1.7891999999999999</v>
      </c>
      <c r="V87" s="94">
        <v>12</v>
      </c>
      <c r="W87" s="84">
        <v>0.89700999999999997</v>
      </c>
      <c r="X87" s="93">
        <v>0.76114999999999999</v>
      </c>
      <c r="Y87" s="92">
        <v>8.682816705739341E-4</v>
      </c>
      <c r="Z87" s="83">
        <v>3.0385900941962932E-2</v>
      </c>
      <c r="AA87" s="84">
        <v>217.39</v>
      </c>
      <c r="AB87" s="93">
        <v>406.21</v>
      </c>
      <c r="AC87" s="92">
        <v>1.0615000000000001</v>
      </c>
      <c r="AD87" s="93">
        <v>1.7310000000000001</v>
      </c>
      <c r="AF87" s="94">
        <v>22</v>
      </c>
      <c r="AG87" s="84">
        <v>1.6955</v>
      </c>
      <c r="AH87" s="93">
        <v>1.3584000000000001</v>
      </c>
      <c r="AI87" s="84">
        <v>9.3499999999999996E-4</v>
      </c>
      <c r="AJ87" s="93">
        <v>1.89E-2</v>
      </c>
      <c r="AK87" s="84">
        <v>234.7</v>
      </c>
      <c r="AL87" s="93">
        <v>424.1</v>
      </c>
      <c r="AM87" s="84">
        <v>1.1200000000000001</v>
      </c>
      <c r="AN87" s="93">
        <v>1.7709999999999999</v>
      </c>
      <c r="AZ87" s="94">
        <v>32</v>
      </c>
      <c r="BA87" s="92">
        <v>1.2381899999999999</v>
      </c>
      <c r="BB87" s="93"/>
      <c r="BC87" s="84">
        <v>1.689E-3</v>
      </c>
      <c r="BD87" s="132">
        <v>0.10421999999999999</v>
      </c>
      <c r="BE87" s="92">
        <v>351.5</v>
      </c>
      <c r="BF87" s="93">
        <v>1487.1</v>
      </c>
      <c r="BG87" s="92">
        <v>1.5196000000000001</v>
      </c>
      <c r="BH87" s="93">
        <v>5.2412000000000001</v>
      </c>
    </row>
    <row r="88" spans="2:60" x14ac:dyDescent="0.4">
      <c r="B88" s="114">
        <v>13</v>
      </c>
      <c r="C88" s="101">
        <f t="shared" ref="C88:J88" si="123">(C87+C89)/2</f>
        <v>0.89989999999999992</v>
      </c>
      <c r="D88" s="102">
        <f t="shared" si="123"/>
        <v>0.88800000000000001</v>
      </c>
      <c r="E88" s="101">
        <f t="shared" si="123"/>
        <v>9.1105000000000005E-4</v>
      </c>
      <c r="F88" s="102">
        <f t="shared" si="123"/>
        <v>2.1986499999999999E-2</v>
      </c>
      <c r="G88" s="103">
        <f t="shared" si="123"/>
        <v>218.42000000000002</v>
      </c>
      <c r="H88" s="104">
        <f t="shared" si="123"/>
        <v>372.09500000000003</v>
      </c>
      <c r="I88" s="103">
        <f t="shared" si="123"/>
        <v>1.0649500000000001</v>
      </c>
      <c r="J88" s="104">
        <f t="shared" si="123"/>
        <v>1.6025</v>
      </c>
      <c r="L88" s="100">
        <v>13</v>
      </c>
      <c r="M88" s="103">
        <f t="shared" ref="M88:T88" si="124">(M87+M89)/2</f>
        <v>1.1870000000000001</v>
      </c>
      <c r="N88" s="104">
        <f t="shared" si="124"/>
        <v>1.1830000000000001</v>
      </c>
      <c r="O88" s="103">
        <f t="shared" si="124"/>
        <v>8.9502500000000003E-4</v>
      </c>
      <c r="P88" s="104">
        <f t="shared" si="124"/>
        <v>2.1873500000000001E-2</v>
      </c>
      <c r="Q88" s="103">
        <f t="shared" si="124"/>
        <v>220.21</v>
      </c>
      <c r="R88" s="104">
        <f t="shared" si="124"/>
        <v>425.11</v>
      </c>
      <c r="S88" s="103">
        <f t="shared" si="124"/>
        <v>1.0710500000000001</v>
      </c>
      <c r="T88" s="104">
        <f t="shared" si="124"/>
        <v>1.7873000000000001</v>
      </c>
      <c r="V88" s="79">
        <v>13</v>
      </c>
      <c r="W88" s="84">
        <v>0.92344000000000004</v>
      </c>
      <c r="X88" s="93">
        <v>0.78498999999999997</v>
      </c>
      <c r="Y88" s="92">
        <v>8.7130783305741915E-4</v>
      </c>
      <c r="Z88" s="83">
        <v>2.9463759575721865E-2</v>
      </c>
      <c r="AA88" s="84">
        <v>218.87</v>
      </c>
      <c r="AB88" s="93">
        <v>406.63</v>
      </c>
      <c r="AC88" s="92">
        <v>1.0665</v>
      </c>
      <c r="AD88" s="93">
        <v>1.73</v>
      </c>
      <c r="AF88" s="94">
        <v>23</v>
      </c>
      <c r="AG88" s="84">
        <v>1.7384999999999999</v>
      </c>
      <c r="AH88" s="93">
        <v>1.3972</v>
      </c>
      <c r="AI88" s="84">
        <v>9.3999999999999997E-4</v>
      </c>
      <c r="AJ88" s="93">
        <v>1.84E-2</v>
      </c>
      <c r="AK88" s="84">
        <v>236.3</v>
      </c>
      <c r="AL88" s="93">
        <v>424.3</v>
      </c>
      <c r="AM88" s="84">
        <v>1.125</v>
      </c>
      <c r="AN88" s="93">
        <v>1.7689999999999999</v>
      </c>
      <c r="AZ88" s="79">
        <v>33</v>
      </c>
      <c r="BA88" s="106">
        <f>(BA87+BA89)/2</f>
        <v>1.2753000000000001</v>
      </c>
      <c r="BB88" s="131"/>
      <c r="BC88" s="106">
        <f t="shared" ref="BC88:BH88" si="125">(BC87+BC89)/2</f>
        <v>1.69345E-3</v>
      </c>
      <c r="BD88" s="108">
        <f t="shared" si="125"/>
        <v>0.10131</v>
      </c>
      <c r="BE88" s="109">
        <f t="shared" si="125"/>
        <v>356.35</v>
      </c>
      <c r="BF88" s="110">
        <f t="shared" si="125"/>
        <v>1487.55</v>
      </c>
      <c r="BG88" s="109">
        <f t="shared" si="125"/>
        <v>1.53525</v>
      </c>
      <c r="BH88" s="110">
        <f t="shared" si="125"/>
        <v>5.2302999999999997</v>
      </c>
    </row>
    <row r="89" spans="2:60" x14ac:dyDescent="0.4">
      <c r="B89" s="79">
        <v>14</v>
      </c>
      <c r="C89" s="84">
        <v>0.92569999999999997</v>
      </c>
      <c r="D89" s="93">
        <v>0.91339999999999999</v>
      </c>
      <c r="E89" s="92">
        <v>9.146E-4</v>
      </c>
      <c r="F89" s="83">
        <v>2.1321E-2</v>
      </c>
      <c r="G89" s="84">
        <v>219.87</v>
      </c>
      <c r="H89" s="93">
        <v>372.53</v>
      </c>
      <c r="I89" s="92">
        <v>1.0699000000000001</v>
      </c>
      <c r="J89" s="93">
        <v>1.6020000000000001</v>
      </c>
      <c r="L89" s="79">
        <v>14</v>
      </c>
      <c r="M89" s="84">
        <v>1.2210000000000001</v>
      </c>
      <c r="N89" s="93">
        <v>1.2170000000000001</v>
      </c>
      <c r="O89" s="111">
        <v>8.9853999999999997E-4</v>
      </c>
      <c r="P89" s="83">
        <v>2.1208000000000001E-2</v>
      </c>
      <c r="Q89" s="84">
        <v>221.8</v>
      </c>
      <c r="R89" s="93">
        <v>425.32</v>
      </c>
      <c r="S89" s="92">
        <v>1.0765</v>
      </c>
      <c r="T89" s="93">
        <v>1.7854000000000001</v>
      </c>
      <c r="V89" s="94">
        <v>14</v>
      </c>
      <c r="W89" s="84">
        <v>0.95045000000000002</v>
      </c>
      <c r="X89" s="93">
        <v>0.80939000000000005</v>
      </c>
      <c r="Y89" s="92">
        <v>8.7435516306723783E-4</v>
      </c>
      <c r="Z89" s="83">
        <v>2.8550219836692741E-2</v>
      </c>
      <c r="AA89" s="84">
        <v>220.35</v>
      </c>
      <c r="AB89" s="93">
        <v>407.05</v>
      </c>
      <c r="AC89" s="92">
        <v>1.0716000000000001</v>
      </c>
      <c r="AD89" s="93">
        <v>1.7290000000000001</v>
      </c>
      <c r="AF89" s="94">
        <v>24</v>
      </c>
      <c r="AG89" s="84">
        <v>1.7822</v>
      </c>
      <c r="AH89" s="93">
        <v>1.4367000000000001</v>
      </c>
      <c r="AI89" s="84">
        <v>9.4399999999999996E-4</v>
      </c>
      <c r="AJ89" s="93">
        <v>1.78E-2</v>
      </c>
      <c r="AK89" s="84">
        <v>238</v>
      </c>
      <c r="AL89" s="93">
        <v>424.5</v>
      </c>
      <c r="AM89" s="84">
        <v>1.131</v>
      </c>
      <c r="AN89" s="93">
        <v>1.7669999999999999</v>
      </c>
      <c r="AZ89" s="94">
        <v>34</v>
      </c>
      <c r="BA89" s="92">
        <v>1.3124100000000001</v>
      </c>
      <c r="BB89" s="93"/>
      <c r="BC89" s="84">
        <v>1.6979E-3</v>
      </c>
      <c r="BD89" s="93">
        <v>9.8400000000000001E-2</v>
      </c>
      <c r="BE89" s="92">
        <v>361.2</v>
      </c>
      <c r="BF89" s="93">
        <v>1488</v>
      </c>
      <c r="BG89" s="92">
        <v>1.5508999999999999</v>
      </c>
      <c r="BH89" s="93">
        <v>5.2194000000000003</v>
      </c>
    </row>
    <row r="90" spans="2:60" x14ac:dyDescent="0.4">
      <c r="B90" s="100">
        <v>15</v>
      </c>
      <c r="C90" s="101">
        <f t="shared" ref="C90:J90" si="126">(C89+C91)/2</f>
        <v>0.95265</v>
      </c>
      <c r="D90" s="102">
        <f t="shared" si="126"/>
        <v>0.94045000000000001</v>
      </c>
      <c r="E90" s="101">
        <f t="shared" si="126"/>
        <v>9.1819999999999998E-4</v>
      </c>
      <c r="F90" s="102">
        <f t="shared" si="126"/>
        <v>2.0698500000000002E-2</v>
      </c>
      <c r="G90" s="103">
        <f t="shared" si="126"/>
        <v>221.32999999999998</v>
      </c>
      <c r="H90" s="104">
        <f t="shared" si="126"/>
        <v>372.94499999999999</v>
      </c>
      <c r="I90" s="103">
        <f t="shared" si="126"/>
        <v>1.0749</v>
      </c>
      <c r="J90" s="104">
        <f t="shared" si="126"/>
        <v>1.6015000000000001</v>
      </c>
      <c r="L90" s="100">
        <v>15</v>
      </c>
      <c r="M90" s="103">
        <f t="shared" ref="M90:T90" si="127">(M89+M91)/2</f>
        <v>1.2570000000000001</v>
      </c>
      <c r="N90" s="104">
        <f t="shared" si="127"/>
        <v>1.2530000000000001</v>
      </c>
      <c r="O90" s="103">
        <f t="shared" si="127"/>
        <v>9.0216999999999999E-4</v>
      </c>
      <c r="P90" s="104">
        <f t="shared" si="127"/>
        <v>2.05855E-2</v>
      </c>
      <c r="Q90" s="103">
        <f t="shared" si="127"/>
        <v>223.405</v>
      </c>
      <c r="R90" s="104">
        <f t="shared" si="127"/>
        <v>425.51</v>
      </c>
      <c r="S90" s="103">
        <f t="shared" si="127"/>
        <v>1.08195</v>
      </c>
      <c r="T90" s="104">
        <f t="shared" si="127"/>
        <v>1.78355</v>
      </c>
      <c r="V90" s="79">
        <v>15</v>
      </c>
      <c r="W90" s="84">
        <v>0.97802999999999995</v>
      </c>
      <c r="X90" s="93">
        <v>0.83436999999999995</v>
      </c>
      <c r="Y90" s="92">
        <v>8.7742388347810828E-4</v>
      </c>
      <c r="Z90" s="83">
        <v>2.7680128435795939E-2</v>
      </c>
      <c r="AA90" s="84">
        <v>221.84</v>
      </c>
      <c r="AB90" s="93">
        <v>407.47</v>
      </c>
      <c r="AC90" s="92">
        <v>1.0767</v>
      </c>
      <c r="AD90" s="93">
        <v>1.728</v>
      </c>
      <c r="AF90" s="94">
        <v>25</v>
      </c>
      <c r="AG90" s="84">
        <v>1.8267</v>
      </c>
      <c r="AH90" s="93">
        <v>1.4772000000000001</v>
      </c>
      <c r="AI90" s="84">
        <v>9.4799999999999995E-4</v>
      </c>
      <c r="AJ90" s="93">
        <v>1.7299999999999999E-2</v>
      </c>
      <c r="AK90" s="84">
        <v>239.7</v>
      </c>
      <c r="AL90" s="93">
        <v>424.7</v>
      </c>
      <c r="AM90" s="84">
        <v>1.1359999999999999</v>
      </c>
      <c r="AN90" s="93">
        <v>1.766</v>
      </c>
      <c r="AZ90" s="79">
        <v>35</v>
      </c>
      <c r="BA90" s="106">
        <f>(BA89+BA91)/2</f>
        <v>1.3511850000000001</v>
      </c>
      <c r="BB90" s="131"/>
      <c r="BC90" s="106">
        <f t="shared" ref="BC90:BH90" si="128">(BC89+BC91)/2</f>
        <v>1.7024499999999999E-3</v>
      </c>
      <c r="BD90" s="108">
        <f t="shared" si="128"/>
        <v>9.5680000000000001E-2</v>
      </c>
      <c r="BE90" s="109">
        <f t="shared" si="128"/>
        <v>366.1</v>
      </c>
      <c r="BF90" s="110">
        <f t="shared" si="128"/>
        <v>1488.35</v>
      </c>
      <c r="BG90" s="109">
        <f t="shared" si="128"/>
        <v>1.5665499999999999</v>
      </c>
      <c r="BH90" s="110">
        <f t="shared" si="128"/>
        <v>5.2086000000000006</v>
      </c>
    </row>
    <row r="91" spans="2:60" x14ac:dyDescent="0.4">
      <c r="B91" s="94">
        <v>16</v>
      </c>
      <c r="C91" s="84">
        <v>0.97960000000000003</v>
      </c>
      <c r="D91" s="93">
        <v>0.96750000000000003</v>
      </c>
      <c r="E91" s="92">
        <v>9.2179999999999996E-4</v>
      </c>
      <c r="F91" s="83">
        <v>2.0076E-2</v>
      </c>
      <c r="G91" s="84">
        <v>222.79</v>
      </c>
      <c r="H91" s="93">
        <v>373.36</v>
      </c>
      <c r="I91" s="92">
        <v>1.0799000000000001</v>
      </c>
      <c r="J91" s="93">
        <v>1.601</v>
      </c>
      <c r="L91" s="79">
        <v>16</v>
      </c>
      <c r="M91" s="84">
        <v>1.2929999999999999</v>
      </c>
      <c r="N91" s="93">
        <v>1.2889999999999999</v>
      </c>
      <c r="O91" s="111">
        <v>9.0580000000000001E-4</v>
      </c>
      <c r="P91" s="83">
        <v>1.9963000000000002E-2</v>
      </c>
      <c r="Q91" s="84">
        <v>225.01</v>
      </c>
      <c r="R91" s="93">
        <v>425.7</v>
      </c>
      <c r="S91" s="92">
        <v>1.0873999999999999</v>
      </c>
      <c r="T91" s="93">
        <v>1.7817000000000001</v>
      </c>
      <c r="V91" s="94">
        <v>16</v>
      </c>
      <c r="W91" s="84">
        <v>1.0062</v>
      </c>
      <c r="X91" s="93">
        <v>0.85992000000000002</v>
      </c>
      <c r="Y91" s="92">
        <v>8.8059175766114835E-4</v>
      </c>
      <c r="Z91" s="83">
        <v>2.6839873315797947E-2</v>
      </c>
      <c r="AA91" s="84">
        <v>223.33</v>
      </c>
      <c r="AB91" s="93">
        <v>407.88</v>
      </c>
      <c r="AC91" s="92">
        <v>1.0818000000000001</v>
      </c>
      <c r="AD91" s="93">
        <v>1.7270000000000001</v>
      </c>
      <c r="AF91" s="94">
        <v>26</v>
      </c>
      <c r="AG91" s="84">
        <v>1.8721000000000001</v>
      </c>
      <c r="AH91" s="93">
        <v>1.5184</v>
      </c>
      <c r="AI91" s="84">
        <v>9.5299999999999996E-4</v>
      </c>
      <c r="AJ91" s="93">
        <v>1.6799999999999999E-2</v>
      </c>
      <c r="AK91" s="84">
        <v>241.3</v>
      </c>
      <c r="AL91" s="93">
        <v>424.9</v>
      </c>
      <c r="AM91" s="84">
        <v>1.141</v>
      </c>
      <c r="AN91" s="93">
        <v>1.764</v>
      </c>
      <c r="AZ91" s="94">
        <v>36</v>
      </c>
      <c r="BA91" s="92">
        <v>1.3899600000000001</v>
      </c>
      <c r="BB91" s="93"/>
      <c r="BC91" s="84">
        <v>1.707E-3</v>
      </c>
      <c r="BD91" s="93">
        <v>9.2960000000000001E-2</v>
      </c>
      <c r="BE91" s="92">
        <v>371</v>
      </c>
      <c r="BF91" s="93">
        <v>1488.7</v>
      </c>
      <c r="BG91" s="92">
        <v>1.5822000000000001</v>
      </c>
      <c r="BH91" s="93">
        <v>5.1978</v>
      </c>
    </row>
    <row r="92" spans="2:60" x14ac:dyDescent="0.4">
      <c r="B92" s="100">
        <v>17</v>
      </c>
      <c r="C92" s="101">
        <f t="shared" ref="C92:J92" si="129">(C91+C93)/2</f>
        <v>1.0076499999999999</v>
      </c>
      <c r="D92" s="102">
        <f t="shared" si="129"/>
        <v>0.99540000000000006</v>
      </c>
      <c r="E92" s="101">
        <f t="shared" si="129"/>
        <v>9.2555000000000003E-4</v>
      </c>
      <c r="F92" s="102">
        <f t="shared" si="129"/>
        <v>1.94935E-2</v>
      </c>
      <c r="G92" s="103">
        <f t="shared" si="129"/>
        <v>224.26499999999999</v>
      </c>
      <c r="H92" s="104">
        <f t="shared" si="129"/>
        <v>373.77</v>
      </c>
      <c r="I92" s="103">
        <f t="shared" si="129"/>
        <v>1.0849000000000002</v>
      </c>
      <c r="J92" s="104">
        <f t="shared" si="129"/>
        <v>1.6005</v>
      </c>
      <c r="L92" s="100">
        <v>17</v>
      </c>
      <c r="M92" s="103">
        <f t="shared" ref="M92:T92" si="130">(M91+M93)/2</f>
        <v>1.33</v>
      </c>
      <c r="N92" s="104">
        <f t="shared" si="130"/>
        <v>1.3260000000000001</v>
      </c>
      <c r="O92" s="103">
        <f t="shared" si="130"/>
        <v>9.0956000000000001E-4</v>
      </c>
      <c r="P92" s="104">
        <f t="shared" si="130"/>
        <v>1.9380500000000002E-2</v>
      </c>
      <c r="Q92" s="103">
        <f t="shared" si="130"/>
        <v>226.625</v>
      </c>
      <c r="R92" s="104">
        <f t="shared" si="130"/>
        <v>425.87</v>
      </c>
      <c r="S92" s="103">
        <f t="shared" si="130"/>
        <v>1.0928499999999999</v>
      </c>
      <c r="T92" s="104">
        <f t="shared" si="130"/>
        <v>1.7803499999999999</v>
      </c>
      <c r="V92" s="79">
        <v>17</v>
      </c>
      <c r="W92" s="84">
        <v>1.0349999999999999</v>
      </c>
      <c r="X92" s="93">
        <v>0.88605999999999996</v>
      </c>
      <c r="Y92" s="92">
        <v>8.8386070355311994E-4</v>
      </c>
      <c r="Z92" s="83">
        <v>2.6028787839350323E-2</v>
      </c>
      <c r="AA92" s="84">
        <v>224.83</v>
      </c>
      <c r="AB92" s="93">
        <v>408.28</v>
      </c>
      <c r="AC92" s="92">
        <v>1.0869</v>
      </c>
      <c r="AD92" s="93">
        <v>1.726</v>
      </c>
      <c r="AF92" s="94">
        <v>27</v>
      </c>
      <c r="AG92" s="84">
        <v>1.9181999999999999</v>
      </c>
      <c r="AH92" s="93">
        <v>1.5606</v>
      </c>
      <c r="AI92" s="84">
        <v>9.5699999999999995E-4</v>
      </c>
      <c r="AJ92" s="93">
        <v>1.6299999999999999E-2</v>
      </c>
      <c r="AK92" s="84">
        <v>243</v>
      </c>
      <c r="AL92" s="93">
        <v>425</v>
      </c>
      <c r="AM92" s="84">
        <v>1.147</v>
      </c>
      <c r="AN92" s="93">
        <v>1.762</v>
      </c>
      <c r="AZ92" s="79">
        <v>37</v>
      </c>
      <c r="BA92" s="106">
        <f>(BA91+BA93)/2</f>
        <v>1.4304450000000002</v>
      </c>
      <c r="BB92" s="131"/>
      <c r="BC92" s="106">
        <f t="shared" ref="BC92:BH92" si="131">(BC91+BC93)/2</f>
        <v>1.7116499999999999E-3</v>
      </c>
      <c r="BD92" s="108">
        <f t="shared" si="131"/>
        <v>9.0414999999999995E-2</v>
      </c>
      <c r="BE92" s="109">
        <f t="shared" si="131"/>
        <v>375.9</v>
      </c>
      <c r="BF92" s="110">
        <f t="shared" si="131"/>
        <v>1489.0500000000002</v>
      </c>
      <c r="BG92" s="109">
        <f t="shared" si="131"/>
        <v>1.5977999999999999</v>
      </c>
      <c r="BH92" s="110">
        <f t="shared" si="131"/>
        <v>5.1870500000000002</v>
      </c>
    </row>
    <row r="93" spans="2:60" x14ac:dyDescent="0.4">
      <c r="B93" s="79">
        <v>18</v>
      </c>
      <c r="C93" s="84">
        <v>1.0357000000000001</v>
      </c>
      <c r="D93" s="93">
        <v>1.0233000000000001</v>
      </c>
      <c r="E93" s="92">
        <v>9.2929999999999998E-4</v>
      </c>
      <c r="F93" s="83">
        <v>1.8911000000000001E-2</v>
      </c>
      <c r="G93" s="84">
        <v>225.74</v>
      </c>
      <c r="H93" s="93">
        <v>374.18</v>
      </c>
      <c r="I93" s="92">
        <v>1.0899000000000001</v>
      </c>
      <c r="J93" s="93">
        <v>1.6</v>
      </c>
      <c r="L93" s="79">
        <v>18</v>
      </c>
      <c r="M93" s="84">
        <v>1.367</v>
      </c>
      <c r="N93" s="93">
        <v>1.363</v>
      </c>
      <c r="O93" s="111">
        <v>9.1332000000000002E-4</v>
      </c>
      <c r="P93" s="83">
        <v>1.8797999999999999E-2</v>
      </c>
      <c r="Q93" s="84">
        <v>228.24</v>
      </c>
      <c r="R93" s="93">
        <v>426.04</v>
      </c>
      <c r="S93" s="92">
        <v>1.0983000000000001</v>
      </c>
      <c r="T93" s="93">
        <v>1.7789999999999999</v>
      </c>
      <c r="V93" s="94">
        <v>18</v>
      </c>
      <c r="W93" s="84">
        <v>1.0644</v>
      </c>
      <c r="X93" s="93">
        <v>0.91279999999999994</v>
      </c>
      <c r="Y93" s="92">
        <v>8.8707531269404771E-4</v>
      </c>
      <c r="Z93" s="83">
        <v>2.5245512610133549E-2</v>
      </c>
      <c r="AA93" s="84">
        <v>226.33</v>
      </c>
      <c r="AB93" s="93">
        <v>408.67</v>
      </c>
      <c r="AC93" s="92">
        <v>1.0920000000000001</v>
      </c>
      <c r="AD93" s="93">
        <v>1.7250000000000001</v>
      </c>
      <c r="AF93" s="94">
        <v>28</v>
      </c>
      <c r="AG93" s="84">
        <v>1.9652000000000001</v>
      </c>
      <c r="AH93" s="93">
        <v>1.6036999999999999</v>
      </c>
      <c r="AI93" s="84">
        <v>9.6199999999999996E-4</v>
      </c>
      <c r="AJ93" s="93">
        <v>1.5800000000000002E-2</v>
      </c>
      <c r="AK93" s="84">
        <v>244.7</v>
      </c>
      <c r="AL93" s="93">
        <v>425.2</v>
      </c>
      <c r="AM93" s="84">
        <v>1.1519999999999999</v>
      </c>
      <c r="AN93" s="93">
        <v>1.76</v>
      </c>
      <c r="AZ93" s="94">
        <v>38</v>
      </c>
      <c r="BA93" s="92">
        <v>1.4709300000000001</v>
      </c>
      <c r="BB93" s="93"/>
      <c r="BC93" s="84">
        <v>1.7163E-3</v>
      </c>
      <c r="BD93" s="93">
        <v>8.7870000000000004E-2</v>
      </c>
      <c r="BE93" s="92">
        <v>380.8</v>
      </c>
      <c r="BF93" s="93">
        <v>1489.4</v>
      </c>
      <c r="BG93" s="92">
        <v>1.6133999999999999</v>
      </c>
      <c r="BH93" s="93">
        <v>5.1763000000000003</v>
      </c>
    </row>
    <row r="94" spans="2:60" x14ac:dyDescent="0.4">
      <c r="B94" s="114">
        <v>19</v>
      </c>
      <c r="C94" s="101">
        <f t="shared" ref="C94:J94" si="132">(C93+C95)/2</f>
        <v>1.0649999999999999</v>
      </c>
      <c r="D94" s="102">
        <f t="shared" si="132"/>
        <v>1.0524499999999999</v>
      </c>
      <c r="E94" s="101">
        <f t="shared" si="132"/>
        <v>9.3319999999999991E-4</v>
      </c>
      <c r="F94" s="102">
        <f t="shared" si="132"/>
        <v>1.8364999999999999E-2</v>
      </c>
      <c r="G94" s="103">
        <f t="shared" si="132"/>
        <v>227.22500000000002</v>
      </c>
      <c r="H94" s="104">
        <f t="shared" si="132"/>
        <v>374.57</v>
      </c>
      <c r="I94" s="103">
        <f t="shared" si="132"/>
        <v>1.0948500000000001</v>
      </c>
      <c r="J94" s="104">
        <f t="shared" si="132"/>
        <v>1.5994999999999999</v>
      </c>
      <c r="L94" s="100">
        <v>19</v>
      </c>
      <c r="M94" s="103">
        <f t="shared" ref="M94:T94" si="133">(M93+M95)/2</f>
        <v>1.4060000000000001</v>
      </c>
      <c r="N94" s="104">
        <f t="shared" si="133"/>
        <v>1.4020000000000001</v>
      </c>
      <c r="O94" s="103">
        <f t="shared" si="133"/>
        <v>9.1721500000000009E-4</v>
      </c>
      <c r="P94" s="104">
        <f t="shared" si="133"/>
        <v>1.8252499999999998E-2</v>
      </c>
      <c r="Q94" s="103">
        <f t="shared" si="133"/>
        <v>229.87</v>
      </c>
      <c r="R94" s="104">
        <f t="shared" si="133"/>
        <v>426.19</v>
      </c>
      <c r="S94" s="103">
        <f t="shared" si="133"/>
        <v>1.1038000000000001</v>
      </c>
      <c r="T94" s="104">
        <f t="shared" si="133"/>
        <v>1.7765</v>
      </c>
      <c r="V94" s="79">
        <v>19</v>
      </c>
      <c r="W94" s="84">
        <v>1.0944</v>
      </c>
      <c r="X94" s="93">
        <v>0.94013999999999998</v>
      </c>
      <c r="Y94" s="92">
        <v>8.9039266316445558E-4</v>
      </c>
      <c r="Z94" s="83">
        <v>2.4489396091492383E-2</v>
      </c>
      <c r="AA94" s="84">
        <v>227.84</v>
      </c>
      <c r="AB94" s="93">
        <v>409.06</v>
      </c>
      <c r="AC94" s="92">
        <v>1.9710000000000001</v>
      </c>
      <c r="AD94" s="93">
        <v>1.724</v>
      </c>
      <c r="AF94" s="94">
        <v>29</v>
      </c>
      <c r="AG94" s="84">
        <v>2.0129999999999999</v>
      </c>
      <c r="AH94" s="93">
        <v>1.6476</v>
      </c>
      <c r="AI94" s="84">
        <v>9.6599999999999995E-4</v>
      </c>
      <c r="AJ94" s="93">
        <v>1.54E-2</v>
      </c>
      <c r="AK94" s="84">
        <v>246.4</v>
      </c>
      <c r="AL94" s="93">
        <v>425.4</v>
      </c>
      <c r="AM94" s="84">
        <v>1.1579999999999999</v>
      </c>
      <c r="AN94" s="93">
        <v>1.7589999999999999</v>
      </c>
      <c r="AZ94" s="79">
        <v>39</v>
      </c>
      <c r="BA94" s="106">
        <f>(BA93+BA95)/2</f>
        <v>1.5131749999999999</v>
      </c>
      <c r="BB94" s="131"/>
      <c r="BC94" s="106">
        <f t="shared" ref="BC94:BH94" si="134">(BC93+BC95)/2</f>
        <v>1.72105E-3</v>
      </c>
      <c r="BD94" s="108">
        <f t="shared" si="134"/>
        <v>8.5485000000000005E-2</v>
      </c>
      <c r="BE94" s="109">
        <f t="shared" si="134"/>
        <v>385.70000000000005</v>
      </c>
      <c r="BF94" s="110">
        <f t="shared" si="134"/>
        <v>1489.65</v>
      </c>
      <c r="BG94" s="109">
        <f t="shared" si="134"/>
        <v>1.629</v>
      </c>
      <c r="BH94" s="110">
        <f t="shared" si="134"/>
        <v>5.1655999999999995</v>
      </c>
    </row>
    <row r="95" spans="2:60" x14ac:dyDescent="0.4">
      <c r="B95" s="94">
        <v>20</v>
      </c>
      <c r="C95" s="84">
        <v>1.0943000000000001</v>
      </c>
      <c r="D95" s="93">
        <v>1.0815999999999999</v>
      </c>
      <c r="E95" s="92">
        <v>9.3709999999999996E-4</v>
      </c>
      <c r="F95" s="83">
        <v>1.7819000000000002E-2</v>
      </c>
      <c r="G95" s="84">
        <v>228.71</v>
      </c>
      <c r="H95" s="93">
        <v>374.96</v>
      </c>
      <c r="I95" s="92">
        <v>1.0998000000000001</v>
      </c>
      <c r="J95" s="93">
        <v>1.599</v>
      </c>
      <c r="L95" s="79">
        <v>20</v>
      </c>
      <c r="M95" s="84">
        <v>1.4450000000000001</v>
      </c>
      <c r="N95" s="93">
        <v>1.4410000000000001</v>
      </c>
      <c r="O95" s="111">
        <v>9.2111000000000005E-4</v>
      </c>
      <c r="P95" s="83">
        <v>1.7707000000000001E-2</v>
      </c>
      <c r="Q95" s="84">
        <v>231.5</v>
      </c>
      <c r="R95" s="93">
        <v>426.34</v>
      </c>
      <c r="S95" s="92">
        <v>1.1093</v>
      </c>
      <c r="T95" s="93">
        <v>1.774</v>
      </c>
      <c r="V95" s="94">
        <v>20</v>
      </c>
      <c r="W95" s="84">
        <v>1.125</v>
      </c>
      <c r="X95" s="93">
        <v>0.96809999999999996</v>
      </c>
      <c r="Y95" s="92">
        <v>8.937349182232549E-4</v>
      </c>
      <c r="Z95" s="83">
        <v>2.3758048038773134E-2</v>
      </c>
      <c r="AA95" s="84">
        <v>229.35</v>
      </c>
      <c r="AB95" s="93">
        <v>409.45</v>
      </c>
      <c r="AC95" s="92">
        <v>1.1021000000000001</v>
      </c>
      <c r="AD95" s="93">
        <v>1.7230000000000001</v>
      </c>
      <c r="AF95" s="94">
        <v>30</v>
      </c>
      <c r="AG95" s="84">
        <v>2.0617000000000001</v>
      </c>
      <c r="AH95" s="93">
        <v>1.6924999999999999</v>
      </c>
      <c r="AI95" s="84">
        <v>9.7099999999999997E-4</v>
      </c>
      <c r="AJ95" s="93">
        <v>1.49E-2</v>
      </c>
      <c r="AK95" s="84">
        <v>248.1</v>
      </c>
      <c r="AL95" s="93">
        <v>425.5</v>
      </c>
      <c r="AM95" s="84">
        <v>1.163</v>
      </c>
      <c r="AN95" s="93">
        <v>1.7569999999999999</v>
      </c>
      <c r="AZ95" s="94">
        <v>40</v>
      </c>
      <c r="BA95" s="92">
        <v>1.55542</v>
      </c>
      <c r="BB95" s="93"/>
      <c r="BC95" s="84">
        <v>1.7258E-3</v>
      </c>
      <c r="BD95" s="93">
        <v>8.3099999999999993E-2</v>
      </c>
      <c r="BE95" s="92">
        <v>390.6</v>
      </c>
      <c r="BF95" s="93">
        <v>1489.9</v>
      </c>
      <c r="BG95" s="92">
        <v>1.6446000000000001</v>
      </c>
      <c r="BH95" s="93">
        <v>5.1548999999999996</v>
      </c>
    </row>
    <row r="96" spans="2:60" x14ac:dyDescent="0.4">
      <c r="B96" s="94">
        <v>21</v>
      </c>
      <c r="C96" s="84">
        <v>1.1244000000000001</v>
      </c>
      <c r="D96" s="93">
        <v>1.1116999999999999</v>
      </c>
      <c r="E96" s="133">
        <v>9.4110000000000005E-4</v>
      </c>
      <c r="F96" s="83">
        <v>1.7298000000000001E-2</v>
      </c>
      <c r="G96" s="84">
        <v>230.2</v>
      </c>
      <c r="H96" s="93">
        <v>375.35</v>
      </c>
      <c r="I96" s="92">
        <v>1.1048</v>
      </c>
      <c r="J96" s="93">
        <v>1.599</v>
      </c>
      <c r="L96" s="100">
        <v>21</v>
      </c>
      <c r="M96" s="103">
        <f t="shared" ref="M96:T96" si="135">(M95+M97)/2</f>
        <v>1.4855</v>
      </c>
      <c r="N96" s="104">
        <f t="shared" si="135"/>
        <v>1.4815</v>
      </c>
      <c r="O96" s="103">
        <f t="shared" si="135"/>
        <v>9.2515499999999999E-4</v>
      </c>
      <c r="P96" s="104">
        <f t="shared" si="135"/>
        <v>1.7195000000000002E-2</v>
      </c>
      <c r="Q96" s="103">
        <f t="shared" si="135"/>
        <v>233.14499999999998</v>
      </c>
      <c r="R96" s="104">
        <f t="shared" si="135"/>
        <v>426.46499999999997</v>
      </c>
      <c r="S96" s="103">
        <f t="shared" si="135"/>
        <v>1.1147499999999999</v>
      </c>
      <c r="T96" s="104">
        <f t="shared" si="135"/>
        <v>1.7721</v>
      </c>
      <c r="V96" s="79">
        <v>21</v>
      </c>
      <c r="W96" s="84">
        <v>1.1561999999999999</v>
      </c>
      <c r="X96" s="93">
        <v>0.99668999999999996</v>
      </c>
      <c r="Y96" s="92">
        <v>8.971828458639872E-4</v>
      </c>
      <c r="Z96" s="83">
        <v>2.3051034991471119E-2</v>
      </c>
      <c r="AA96" s="84">
        <v>230.87</v>
      </c>
      <c r="AB96" s="93">
        <v>409.82</v>
      </c>
      <c r="AC96" s="92">
        <v>1.1072</v>
      </c>
      <c r="AD96" s="93">
        <v>1.7221</v>
      </c>
      <c r="AF96" s="94">
        <v>31</v>
      </c>
      <c r="AG96" s="84">
        <v>2.1112000000000002</v>
      </c>
      <c r="AH96" s="93">
        <v>1.7383</v>
      </c>
      <c r="AI96" s="84">
        <v>9.7599999999999998E-4</v>
      </c>
      <c r="AJ96" s="93">
        <v>1.4500000000000001E-2</v>
      </c>
      <c r="AK96" s="84">
        <v>249.8</v>
      </c>
      <c r="AL96" s="93">
        <v>425.6</v>
      </c>
      <c r="AM96" s="84">
        <v>1.169</v>
      </c>
      <c r="AN96" s="93">
        <v>1.7549999999999999</v>
      </c>
      <c r="AZ96" s="79">
        <v>41</v>
      </c>
      <c r="BA96" s="106">
        <f>(BA95+BA97)/2</f>
        <v>1.5994700000000002</v>
      </c>
      <c r="BB96" s="131"/>
      <c r="BC96" s="106">
        <f t="shared" ref="BC96:BH96" si="136">(BC95+BC97)/2</f>
        <v>1.73065E-3</v>
      </c>
      <c r="BD96" s="108">
        <f t="shared" si="136"/>
        <v>4.5481499999999994E-2</v>
      </c>
      <c r="BE96" s="109">
        <f t="shared" si="136"/>
        <v>395.55</v>
      </c>
      <c r="BF96" s="110">
        <f t="shared" si="136"/>
        <v>1490.15</v>
      </c>
      <c r="BG96" s="109">
        <f t="shared" si="136"/>
        <v>1.6600999999999999</v>
      </c>
      <c r="BH96" s="110">
        <f t="shared" si="136"/>
        <v>5.1442999999999994</v>
      </c>
    </row>
    <row r="97" spans="2:60" x14ac:dyDescent="0.4">
      <c r="B97" s="94">
        <v>22</v>
      </c>
      <c r="C97" s="84">
        <v>1.1552</v>
      </c>
      <c r="D97" s="93">
        <v>1.1423000000000001</v>
      </c>
      <c r="E97" s="84">
        <v>9.4519999999999999E-4</v>
      </c>
      <c r="F97" s="83">
        <v>1.6794E-2</v>
      </c>
      <c r="G97" s="84">
        <v>231.7</v>
      </c>
      <c r="H97" s="93">
        <v>375.72</v>
      </c>
      <c r="I97" s="92">
        <v>1.1097999999999999</v>
      </c>
      <c r="J97" s="93">
        <v>1.5980000000000001</v>
      </c>
      <c r="L97" s="79">
        <v>22</v>
      </c>
      <c r="M97" s="84">
        <v>1.526</v>
      </c>
      <c r="N97" s="93">
        <v>1.522</v>
      </c>
      <c r="O97" s="111">
        <v>9.2920000000000003E-4</v>
      </c>
      <c r="P97" s="83">
        <v>1.6683E-2</v>
      </c>
      <c r="Q97" s="84">
        <v>234.79</v>
      </c>
      <c r="R97" s="93">
        <v>426.59</v>
      </c>
      <c r="S97" s="92">
        <v>1.1202000000000001</v>
      </c>
      <c r="T97" s="93">
        <v>1.7702</v>
      </c>
      <c r="V97" s="94">
        <v>22</v>
      </c>
      <c r="W97" s="84">
        <v>1.1880999999999999</v>
      </c>
      <c r="X97" s="93">
        <v>1.0259</v>
      </c>
      <c r="Y97" s="92">
        <v>9.0065747996037105E-4</v>
      </c>
      <c r="Z97" s="83">
        <v>2.2367861856085178E-2</v>
      </c>
      <c r="AA97" s="84">
        <v>232.4</v>
      </c>
      <c r="AB97" s="93">
        <v>410.19</v>
      </c>
      <c r="AC97" s="92">
        <v>1.1123000000000001</v>
      </c>
      <c r="AD97" s="93">
        <v>1.7211000000000001</v>
      </c>
      <c r="AF97" s="94">
        <v>32</v>
      </c>
      <c r="AG97" s="84">
        <v>2.1616</v>
      </c>
      <c r="AH97" s="93">
        <v>1.7850999999999999</v>
      </c>
      <c r="AI97" s="84">
        <v>9.810000000000001E-4</v>
      </c>
      <c r="AJ97" s="93">
        <v>1.41E-2</v>
      </c>
      <c r="AK97" s="84">
        <v>251.6</v>
      </c>
      <c r="AL97" s="93">
        <v>425.7</v>
      </c>
      <c r="AM97" s="84">
        <v>1.1739999999999999</v>
      </c>
      <c r="AN97" s="93">
        <v>1.7529999999999999</v>
      </c>
      <c r="AZ97" s="94">
        <v>42</v>
      </c>
      <c r="BA97" s="92">
        <v>1.6435200000000001</v>
      </c>
      <c r="BB97" s="93"/>
      <c r="BC97" s="84">
        <v>1.7355000000000001E-3</v>
      </c>
      <c r="BD97" s="93">
        <v>7.8630000000000002E-3</v>
      </c>
      <c r="BE97" s="92">
        <v>400.5</v>
      </c>
      <c r="BF97" s="93">
        <v>1490.4</v>
      </c>
      <c r="BG97" s="92">
        <v>1.6756</v>
      </c>
      <c r="BH97" s="93">
        <v>5.1337000000000002</v>
      </c>
    </row>
    <row r="98" spans="2:60" x14ac:dyDescent="0.4">
      <c r="B98" s="94">
        <v>23</v>
      </c>
      <c r="C98" s="84">
        <v>1.1867000000000001</v>
      </c>
      <c r="D98" s="93">
        <v>1.1736</v>
      </c>
      <c r="E98" s="84">
        <v>9.4939999999999998E-4</v>
      </c>
      <c r="F98" s="83">
        <v>1.6306000000000001E-2</v>
      </c>
      <c r="G98" s="84">
        <v>233.21</v>
      </c>
      <c r="H98" s="93">
        <v>376.09</v>
      </c>
      <c r="I98" s="92">
        <v>1.1148</v>
      </c>
      <c r="J98" s="93">
        <v>1.5980000000000001</v>
      </c>
      <c r="L98" s="100">
        <v>23</v>
      </c>
      <c r="M98" s="103">
        <f t="shared" ref="M98:T98" si="137">(M97+M99)/2</f>
        <v>1.5685</v>
      </c>
      <c r="N98" s="104">
        <f t="shared" si="137"/>
        <v>1.5640000000000001</v>
      </c>
      <c r="O98" s="103">
        <f t="shared" si="137"/>
        <v>9.33405E-4</v>
      </c>
      <c r="P98" s="104">
        <f t="shared" si="137"/>
        <v>1.6202500000000002E-2</v>
      </c>
      <c r="Q98" s="103">
        <f t="shared" si="137"/>
        <v>236.45499999999998</v>
      </c>
      <c r="R98" s="104">
        <f t="shared" si="137"/>
        <v>426.69499999999999</v>
      </c>
      <c r="S98" s="103">
        <f t="shared" si="137"/>
        <v>1.12565</v>
      </c>
      <c r="T98" s="104">
        <f t="shared" si="137"/>
        <v>1.7682500000000001</v>
      </c>
      <c r="V98" s="79">
        <v>23</v>
      </c>
      <c r="W98" s="84">
        <v>1.2205999999999999</v>
      </c>
      <c r="X98" s="93">
        <v>1.0558000000000001</v>
      </c>
      <c r="Y98" s="92">
        <v>9.0415913200723324E-4</v>
      </c>
      <c r="Z98" s="83">
        <v>2.1707041764348355E-2</v>
      </c>
      <c r="AA98" s="84">
        <v>233.93</v>
      </c>
      <c r="AB98" s="93">
        <v>410.56</v>
      </c>
      <c r="AC98" s="92">
        <v>1.1173999999999999</v>
      </c>
      <c r="AD98" s="93">
        <v>1.7201</v>
      </c>
      <c r="AF98" s="94">
        <v>33</v>
      </c>
      <c r="AG98" s="84">
        <v>2.2128000000000001</v>
      </c>
      <c r="AH98" s="93">
        <v>1.8329</v>
      </c>
      <c r="AI98" s="84">
        <v>9.859999999999999E-4</v>
      </c>
      <c r="AJ98" s="93">
        <v>1.3599999999999999E-2</v>
      </c>
      <c r="AK98" s="84">
        <v>253.3</v>
      </c>
      <c r="AL98" s="93">
        <v>425.8</v>
      </c>
      <c r="AM98" s="84">
        <v>1.18</v>
      </c>
      <c r="AN98" s="93">
        <v>1.7509999999999999</v>
      </c>
      <c r="AZ98" s="79">
        <v>43</v>
      </c>
      <c r="BA98" s="106">
        <f>(BA97+BA99)/2</f>
        <v>1.689425</v>
      </c>
      <c r="BB98" s="131"/>
      <c r="BC98" s="106">
        <f t="shared" ref="BC98:BH98" si="138">(BC97+BC99)/2</f>
        <v>1.7404500000000002E-3</v>
      </c>
      <c r="BD98" s="108">
        <f t="shared" si="138"/>
        <v>4.1156499999999999E-2</v>
      </c>
      <c r="BE98" s="109">
        <f t="shared" si="138"/>
        <v>405.5</v>
      </c>
      <c r="BF98" s="110">
        <f t="shared" si="138"/>
        <v>1490.5500000000002</v>
      </c>
      <c r="BG98" s="109">
        <f t="shared" si="138"/>
        <v>1.6910499999999999</v>
      </c>
      <c r="BH98" s="110">
        <f t="shared" si="138"/>
        <v>5.1231499999999999</v>
      </c>
    </row>
    <row r="99" spans="2:60" x14ac:dyDescent="0.4">
      <c r="B99" s="94">
        <v>24</v>
      </c>
      <c r="C99" s="84">
        <v>1.2186999999999999</v>
      </c>
      <c r="D99" s="93">
        <v>1.2056</v>
      </c>
      <c r="E99" s="84">
        <v>9.5359999999999998E-4</v>
      </c>
      <c r="F99" s="83">
        <v>1.5831999999999999E-2</v>
      </c>
      <c r="G99" s="84">
        <v>234.73</v>
      </c>
      <c r="H99" s="93">
        <v>376.44</v>
      </c>
      <c r="I99" s="92">
        <v>1.1197999999999999</v>
      </c>
      <c r="J99" s="93">
        <v>1.597</v>
      </c>
      <c r="L99" s="79">
        <v>24</v>
      </c>
      <c r="M99" s="84">
        <v>1.611</v>
      </c>
      <c r="N99" s="93">
        <v>1.6060000000000001</v>
      </c>
      <c r="O99" s="111">
        <v>9.3760999999999996E-4</v>
      </c>
      <c r="P99" s="83">
        <v>1.5722E-2</v>
      </c>
      <c r="Q99" s="84">
        <v>238.12</v>
      </c>
      <c r="R99" s="93">
        <v>426.8</v>
      </c>
      <c r="S99" s="92">
        <v>1.1311</v>
      </c>
      <c r="T99" s="93">
        <v>1.7663</v>
      </c>
      <c r="V99" s="94">
        <v>24</v>
      </c>
      <c r="W99" s="84">
        <v>1.2538</v>
      </c>
      <c r="X99" s="93">
        <v>1.0869</v>
      </c>
      <c r="Y99" s="92">
        <v>9.0777051561365292E-4</v>
      </c>
      <c r="Z99" s="83">
        <v>2.1068155482987464E-2</v>
      </c>
      <c r="AA99" s="84">
        <v>235.47</v>
      </c>
      <c r="AB99" s="93">
        <v>410.91</v>
      </c>
      <c r="AC99" s="92">
        <v>121225</v>
      </c>
      <c r="AD99" s="93">
        <v>1.7191000000000001</v>
      </c>
      <c r="AF99" s="94">
        <v>34</v>
      </c>
      <c r="AG99" s="84">
        <v>2.2648999999999999</v>
      </c>
      <c r="AH99" s="93">
        <v>1.8812</v>
      </c>
      <c r="AI99" s="84">
        <v>9.9099999999999991E-4</v>
      </c>
      <c r="AJ99" s="93">
        <v>1.32E-2</v>
      </c>
      <c r="AK99" s="84">
        <v>255</v>
      </c>
      <c r="AL99" s="93">
        <v>425.9</v>
      </c>
      <c r="AM99" s="84">
        <v>1.1850000000000001</v>
      </c>
      <c r="AN99" s="93">
        <v>1.7490000000000001</v>
      </c>
      <c r="AZ99" s="94">
        <v>44</v>
      </c>
      <c r="BA99" s="92">
        <v>1.73533</v>
      </c>
      <c r="BB99" s="93"/>
      <c r="BC99" s="84">
        <v>1.7454E-3</v>
      </c>
      <c r="BD99" s="93">
        <v>7.4450000000000002E-2</v>
      </c>
      <c r="BE99" s="92">
        <v>410.5</v>
      </c>
      <c r="BF99" s="93">
        <v>1490.7</v>
      </c>
      <c r="BG99" s="92">
        <v>1.7064999999999999</v>
      </c>
      <c r="BH99" s="93">
        <v>5.1125999999999996</v>
      </c>
    </row>
    <row r="100" spans="2:60" x14ac:dyDescent="0.4">
      <c r="B100" s="94">
        <v>25</v>
      </c>
      <c r="C100" s="84">
        <v>1.2514000000000001</v>
      </c>
      <c r="D100" s="93">
        <v>1.2381</v>
      </c>
      <c r="E100" s="84">
        <v>9.5799999999999998E-4</v>
      </c>
      <c r="F100" s="83">
        <v>1.5373E-2</v>
      </c>
      <c r="G100" s="84">
        <v>236.25</v>
      </c>
      <c r="H100" s="93">
        <v>376.79</v>
      </c>
      <c r="I100" s="92">
        <v>1.1248</v>
      </c>
      <c r="J100" s="93">
        <v>1.597</v>
      </c>
      <c r="L100" s="100">
        <v>25</v>
      </c>
      <c r="M100" s="103">
        <f t="shared" ref="M100:T100" si="139">(M99+M101)/2</f>
        <v>1.655</v>
      </c>
      <c r="N100" s="104">
        <f t="shared" si="139"/>
        <v>1.65</v>
      </c>
      <c r="O100" s="103">
        <f t="shared" si="139"/>
        <v>9.41985E-4</v>
      </c>
      <c r="P100" s="104">
        <f t="shared" si="139"/>
        <v>1.5270499999999999E-2</v>
      </c>
      <c r="Q100" s="103">
        <f t="shared" si="139"/>
        <v>239.79500000000002</v>
      </c>
      <c r="R100" s="104">
        <f t="shared" si="139"/>
        <v>426.875</v>
      </c>
      <c r="S100" s="103">
        <f t="shared" si="139"/>
        <v>1.1366000000000001</v>
      </c>
      <c r="T100" s="104">
        <f t="shared" si="139"/>
        <v>1.7643</v>
      </c>
      <c r="V100" s="79">
        <v>25</v>
      </c>
      <c r="W100" s="84">
        <v>1.2876000000000001</v>
      </c>
      <c r="X100" s="93">
        <v>1.1174999999999999</v>
      </c>
      <c r="Y100" s="92">
        <v>9.1141086401749902E-4</v>
      </c>
      <c r="Z100" s="83">
        <v>5.2910052910052914E-2</v>
      </c>
      <c r="AA100" s="84">
        <v>237.01</v>
      </c>
      <c r="AB100" s="93">
        <v>411.26</v>
      </c>
      <c r="AC100" s="92">
        <v>1.1274999999999999</v>
      </c>
      <c r="AD100" s="93">
        <v>1.718</v>
      </c>
      <c r="AF100" s="94">
        <v>35</v>
      </c>
      <c r="AG100" s="84">
        <v>2.3178999999999998</v>
      </c>
      <c r="AH100" s="93">
        <v>1.9313</v>
      </c>
      <c r="AI100" s="84">
        <v>9.9700000000000006E-4</v>
      </c>
      <c r="AJ100" s="93">
        <v>1.29E-2</v>
      </c>
      <c r="AK100" s="84">
        <v>256.8</v>
      </c>
      <c r="AL100" s="93">
        <v>426</v>
      </c>
      <c r="AM100" s="84">
        <v>1.1910000000000001</v>
      </c>
      <c r="AN100" s="93">
        <v>1.748</v>
      </c>
      <c r="AZ100" s="79">
        <v>45</v>
      </c>
      <c r="BA100" s="106">
        <f>(BA99+BA101)/2</f>
        <v>1.7831399999999999</v>
      </c>
      <c r="BB100" s="131"/>
      <c r="BC100" s="106">
        <f t="shared" ref="BC100:BH100" si="140">(BC99+BC101)/2</f>
        <v>1.7504999999999999E-3</v>
      </c>
      <c r="BD100" s="108">
        <f t="shared" si="140"/>
        <v>7.2484999999999994E-2</v>
      </c>
      <c r="BE100" s="109">
        <f t="shared" si="140"/>
        <v>415.5</v>
      </c>
      <c r="BF100" s="110">
        <f t="shared" si="140"/>
        <v>1490.8000000000002</v>
      </c>
      <c r="BG100" s="109">
        <f t="shared" si="140"/>
        <v>1.7219500000000001</v>
      </c>
      <c r="BH100" s="110">
        <f t="shared" si="140"/>
        <v>5.1020500000000002</v>
      </c>
    </row>
    <row r="101" spans="2:60" x14ac:dyDescent="0.4">
      <c r="B101" s="94">
        <v>26</v>
      </c>
      <c r="C101" s="84">
        <v>1.2847999999999999</v>
      </c>
      <c r="D101" s="93">
        <v>1.2714000000000001</v>
      </c>
      <c r="E101" s="84">
        <v>9.6239999999999997E-4</v>
      </c>
      <c r="F101" s="83">
        <v>1.4928E-2</v>
      </c>
      <c r="G101" s="84">
        <v>237.78</v>
      </c>
      <c r="H101" s="93">
        <v>377.13</v>
      </c>
      <c r="I101" s="92">
        <v>1.1297999999999999</v>
      </c>
      <c r="J101" s="93">
        <v>1.5960000000000001</v>
      </c>
      <c r="L101" s="79">
        <v>26</v>
      </c>
      <c r="M101" s="84">
        <v>1.6990000000000001</v>
      </c>
      <c r="N101" s="93">
        <v>1.694</v>
      </c>
      <c r="O101" s="111">
        <v>9.4636000000000004E-4</v>
      </c>
      <c r="P101" s="83">
        <v>1.4819000000000001E-2</v>
      </c>
      <c r="Q101" s="84">
        <v>241.47</v>
      </c>
      <c r="R101" s="93">
        <v>426.95</v>
      </c>
      <c r="S101" s="92">
        <v>1.1420999999999999</v>
      </c>
      <c r="T101" s="93">
        <v>1.7623</v>
      </c>
      <c r="V101" s="94">
        <v>26</v>
      </c>
      <c r="W101" s="84">
        <v>1.3221000000000001</v>
      </c>
      <c r="X101" s="93">
        <v>1.1493</v>
      </c>
      <c r="Y101" s="92">
        <v>9.1516427198682162E-4</v>
      </c>
      <c r="Z101" s="83">
        <v>1.9851116625310174E-2</v>
      </c>
      <c r="AA101" s="84">
        <v>238.56</v>
      </c>
      <c r="AB101" s="93">
        <v>411.6</v>
      </c>
      <c r="AC101" s="92">
        <v>1.1326000000000001</v>
      </c>
      <c r="AD101" s="93">
        <v>1.7170000000000001</v>
      </c>
      <c r="AF101" s="94">
        <v>36</v>
      </c>
      <c r="AG101" s="84">
        <v>2.3717999999999999</v>
      </c>
      <c r="AH101" s="93">
        <v>1.982</v>
      </c>
      <c r="AI101" s="84">
        <v>1.0020000000000001E-3</v>
      </c>
      <c r="AJ101" s="93">
        <v>1.2500000000000001E-2</v>
      </c>
      <c r="AK101" s="84">
        <v>258.60000000000002</v>
      </c>
      <c r="AL101" s="93">
        <v>426</v>
      </c>
      <c r="AM101" s="84">
        <v>1.1970000000000001</v>
      </c>
      <c r="AN101" s="93">
        <v>1.746</v>
      </c>
      <c r="AZ101" s="94">
        <v>46</v>
      </c>
      <c r="BA101" s="92">
        <v>1.8309500000000001</v>
      </c>
      <c r="BB101" s="93"/>
      <c r="BC101" s="84">
        <v>1.7556E-3</v>
      </c>
      <c r="BD101" s="93">
        <v>7.0519999999999999E-2</v>
      </c>
      <c r="BE101" s="92">
        <v>420.5</v>
      </c>
      <c r="BF101" s="93">
        <v>1490.9</v>
      </c>
      <c r="BG101" s="92">
        <v>1.7374000000000001</v>
      </c>
      <c r="BH101" s="93">
        <v>5.0914999999999999</v>
      </c>
    </row>
    <row r="102" spans="2:60" x14ac:dyDescent="0.4">
      <c r="B102" s="94">
        <v>27</v>
      </c>
      <c r="C102" s="84">
        <v>2.3188</v>
      </c>
      <c r="D102" s="93">
        <v>1.3052999999999999</v>
      </c>
      <c r="E102" s="84">
        <v>9.6690000000000003E-4</v>
      </c>
      <c r="F102" s="83">
        <v>1.4496999999999999E-2</v>
      </c>
      <c r="G102" s="84">
        <v>239.31</v>
      </c>
      <c r="H102" s="93">
        <v>377.47</v>
      </c>
      <c r="I102" s="92">
        <v>1.1349</v>
      </c>
      <c r="J102" s="93">
        <v>1.5960000000000001</v>
      </c>
      <c r="L102" s="100">
        <v>27</v>
      </c>
      <c r="M102" s="103">
        <f t="shared" ref="M102:T102" si="141">(M101+M103)/2</f>
        <v>1.7444999999999999</v>
      </c>
      <c r="N102" s="104">
        <f t="shared" si="141"/>
        <v>1.7395</v>
      </c>
      <c r="O102" s="103">
        <f t="shared" si="141"/>
        <v>9.5092500000000003E-4</v>
      </c>
      <c r="P102" s="104">
        <f t="shared" si="141"/>
        <v>1.4394000000000001E-2</v>
      </c>
      <c r="Q102" s="103">
        <f t="shared" si="141"/>
        <v>243.16500000000002</v>
      </c>
      <c r="R102" s="104">
        <f t="shared" si="141"/>
        <v>427.005</v>
      </c>
      <c r="S102" s="103">
        <f t="shared" si="141"/>
        <v>1.1476</v>
      </c>
      <c r="T102" s="104">
        <f t="shared" si="141"/>
        <v>1.7603</v>
      </c>
      <c r="V102" s="79">
        <v>27</v>
      </c>
      <c r="W102" s="84">
        <v>1.3573</v>
      </c>
      <c r="X102" s="93">
        <v>1.1819</v>
      </c>
      <c r="Y102" s="92">
        <v>9.1894872266127549E-4</v>
      </c>
      <c r="Z102" s="83">
        <v>1.9271907340669504E-2</v>
      </c>
      <c r="AA102" s="84">
        <v>240.11</v>
      </c>
      <c r="AB102" s="93">
        <v>411.93</v>
      </c>
      <c r="AC102" s="92">
        <v>1.1376999999999999</v>
      </c>
      <c r="AD102" s="93">
        <v>1.716</v>
      </c>
      <c r="AF102" s="94">
        <v>37</v>
      </c>
      <c r="AG102" s="84">
        <v>2.4266000000000001</v>
      </c>
      <c r="AH102" s="93">
        <v>2.0337999999999998</v>
      </c>
      <c r="AI102" s="84">
        <v>1.008E-3</v>
      </c>
      <c r="AJ102" s="93">
        <v>1.21E-2</v>
      </c>
      <c r="AK102" s="84">
        <v>260.39999999999998</v>
      </c>
      <c r="AL102" s="93">
        <v>426.1</v>
      </c>
      <c r="AM102" s="84">
        <v>1.202</v>
      </c>
      <c r="AN102" s="93">
        <v>1.744</v>
      </c>
      <c r="AZ102" s="79">
        <v>47</v>
      </c>
      <c r="BA102" s="106">
        <f>(BA101+BA103)/2</f>
        <v>1.8807200000000002</v>
      </c>
      <c r="BB102" s="131"/>
      <c r="BC102" s="106">
        <f t="shared" ref="BC102:BH102" si="142">(BC101+BC103)/2</f>
        <v>1.7607999999999999E-3</v>
      </c>
      <c r="BD102" s="108">
        <f t="shared" si="142"/>
        <v>6.8670000000000009E-2</v>
      </c>
      <c r="BE102" s="109">
        <f t="shared" si="142"/>
        <v>425.5</v>
      </c>
      <c r="BF102" s="110">
        <f t="shared" si="142"/>
        <v>1491</v>
      </c>
      <c r="BG102" s="109">
        <f t="shared" si="142"/>
        <v>1.75285</v>
      </c>
      <c r="BH102" s="110">
        <f t="shared" si="142"/>
        <v>5.0810499999999994</v>
      </c>
    </row>
    <row r="103" spans="2:60" x14ac:dyDescent="0.4">
      <c r="B103" s="94">
        <v>28</v>
      </c>
      <c r="C103" s="84">
        <v>1.3534999999999999</v>
      </c>
      <c r="D103" s="93">
        <v>1.3398000000000001</v>
      </c>
      <c r="E103" s="84">
        <v>9.7159999999999998E-4</v>
      </c>
      <c r="F103" s="83">
        <v>1.4078E-2</v>
      </c>
      <c r="G103" s="84">
        <v>240.86</v>
      </c>
      <c r="H103" s="93">
        <v>377.79</v>
      </c>
      <c r="I103" s="92">
        <v>1.1398999999999999</v>
      </c>
      <c r="J103" s="93">
        <v>1.595</v>
      </c>
      <c r="L103" s="79">
        <v>28</v>
      </c>
      <c r="M103" s="84">
        <v>1.79</v>
      </c>
      <c r="N103" s="93">
        <v>1.7849999999999999</v>
      </c>
      <c r="O103" s="111">
        <v>9.5549000000000003E-4</v>
      </c>
      <c r="P103" s="83">
        <v>1.3969000000000001E-2</v>
      </c>
      <c r="Q103" s="84">
        <v>244.86</v>
      </c>
      <c r="R103" s="93">
        <v>427.06</v>
      </c>
      <c r="S103" s="92">
        <v>1.1531</v>
      </c>
      <c r="T103" s="93">
        <v>1.7583</v>
      </c>
      <c r="V103" s="94">
        <v>28</v>
      </c>
      <c r="W103" s="84">
        <v>1.3932</v>
      </c>
      <c r="X103" s="93">
        <v>1.2151000000000001</v>
      </c>
      <c r="Y103" s="92">
        <v>9.227646027498385E-4</v>
      </c>
      <c r="Z103" s="83">
        <v>1.87111743132999E-2</v>
      </c>
      <c r="AA103" s="84">
        <v>241.68</v>
      </c>
      <c r="AB103" s="93">
        <v>412.25</v>
      </c>
      <c r="AC103" s="92">
        <v>1.1428</v>
      </c>
      <c r="AD103" s="93">
        <v>1.7150000000000001</v>
      </c>
      <c r="AF103" s="94">
        <v>38</v>
      </c>
      <c r="AG103" s="84">
        <v>2.4824000000000002</v>
      </c>
      <c r="AH103" s="93">
        <v>2.0865999999999998</v>
      </c>
      <c r="AI103" s="84">
        <v>1.0139999999999999E-3</v>
      </c>
      <c r="AJ103" s="93">
        <v>1.18E-2</v>
      </c>
      <c r="AK103" s="84">
        <v>262.10000000000002</v>
      </c>
      <c r="AL103" s="93">
        <v>426.1</v>
      </c>
      <c r="AM103" s="84">
        <v>1.208</v>
      </c>
      <c r="AN103" s="93">
        <v>1.742</v>
      </c>
      <c r="AZ103" s="94">
        <v>48</v>
      </c>
      <c r="BA103" s="92">
        <v>1.93049</v>
      </c>
      <c r="BB103" s="93"/>
      <c r="BC103" s="84">
        <v>1.766E-3</v>
      </c>
      <c r="BD103" s="93">
        <v>6.6820000000000004E-2</v>
      </c>
      <c r="BE103" s="92">
        <v>430.5</v>
      </c>
      <c r="BF103" s="93">
        <v>1491.1</v>
      </c>
      <c r="BG103" s="92">
        <v>1.7683</v>
      </c>
      <c r="BH103" s="93">
        <v>5.0705999999999998</v>
      </c>
    </row>
    <row r="104" spans="2:60" x14ac:dyDescent="0.4">
      <c r="B104" s="94">
        <v>29</v>
      </c>
      <c r="C104" s="84">
        <v>1.3889</v>
      </c>
      <c r="D104" s="93">
        <v>1.3751</v>
      </c>
      <c r="E104" s="134">
        <v>9.7630000000000004E-4</v>
      </c>
      <c r="F104" s="83">
        <v>1.3671000000000001E-2</v>
      </c>
      <c r="G104" s="84">
        <v>242.41</v>
      </c>
      <c r="H104" s="93">
        <v>378.1</v>
      </c>
      <c r="I104" s="92">
        <v>1.1449</v>
      </c>
      <c r="J104" s="93">
        <v>1.595</v>
      </c>
      <c r="L104" s="100">
        <v>29</v>
      </c>
      <c r="M104" s="103">
        <f t="shared" ref="M104:T104" si="143">(M103+M105)/2</f>
        <v>1.8374999999999999</v>
      </c>
      <c r="N104" s="104">
        <f t="shared" si="143"/>
        <v>1.8325</v>
      </c>
      <c r="O104" s="103">
        <f t="shared" si="143"/>
        <v>9.6026E-4</v>
      </c>
      <c r="P104" s="104">
        <f t="shared" si="143"/>
        <v>1.3569000000000001E-2</v>
      </c>
      <c r="Q104" s="103">
        <f t="shared" si="143"/>
        <v>246.57499999999999</v>
      </c>
      <c r="R104" s="104">
        <f t="shared" si="143"/>
        <v>427.08500000000004</v>
      </c>
      <c r="S104" s="103">
        <f t="shared" si="143"/>
        <v>1.15865</v>
      </c>
      <c r="T104" s="104">
        <f t="shared" si="143"/>
        <v>1.7562500000000001</v>
      </c>
      <c r="V104" s="79">
        <v>29</v>
      </c>
      <c r="W104" s="84">
        <v>1.4298</v>
      </c>
      <c r="X104" s="93">
        <v>1.2491000000000001</v>
      </c>
      <c r="Y104" s="92">
        <v>9.2669817440459645E-4</v>
      </c>
      <c r="Z104" s="83">
        <v>1.8167614410551751E-2</v>
      </c>
      <c r="AA104" s="84">
        <v>243.25</v>
      </c>
      <c r="AB104" s="93">
        <v>412.57</v>
      </c>
      <c r="AC104" s="92">
        <v>1.1478999999999999</v>
      </c>
      <c r="AD104" s="93">
        <v>1.714</v>
      </c>
      <c r="AF104" s="94">
        <v>39</v>
      </c>
      <c r="AG104" s="84">
        <v>2.5390000000000001</v>
      </c>
      <c r="AH104" s="93">
        <v>2.1404000000000001</v>
      </c>
      <c r="AI104" s="84">
        <v>1.0189999999999999E-3</v>
      </c>
      <c r="AJ104" s="93">
        <v>1.14E-2</v>
      </c>
      <c r="AK104" s="84">
        <v>264</v>
      </c>
      <c r="AL104" s="93">
        <v>426.1</v>
      </c>
      <c r="AM104" s="84">
        <v>1.2130000000000001</v>
      </c>
      <c r="AN104" s="93">
        <v>1.74</v>
      </c>
      <c r="AZ104" s="79">
        <v>49</v>
      </c>
      <c r="BA104" s="106">
        <f>(BA103+BA105)/2</f>
        <v>1.9822600000000001</v>
      </c>
      <c r="BB104" s="131"/>
      <c r="BC104" s="106">
        <f t="shared" ref="BC104:BH104" si="144">(BC103+BC105)/2</f>
        <v>1.7713E-3</v>
      </c>
      <c r="BD104" s="108">
        <f t="shared" si="144"/>
        <v>6.5085000000000004E-2</v>
      </c>
      <c r="BE104" s="109">
        <f t="shared" si="144"/>
        <v>435.55</v>
      </c>
      <c r="BF104" s="110">
        <f t="shared" si="144"/>
        <v>1491.1</v>
      </c>
      <c r="BG104" s="109">
        <f t="shared" si="144"/>
        <v>1.78365</v>
      </c>
      <c r="BH104" s="110">
        <f t="shared" si="144"/>
        <v>5.0601500000000001</v>
      </c>
    </row>
    <row r="105" spans="2:60" x14ac:dyDescent="0.4">
      <c r="B105" s="94">
        <v>30</v>
      </c>
      <c r="C105" s="84">
        <v>1.4249000000000001</v>
      </c>
      <c r="D105" s="93">
        <v>1.411</v>
      </c>
      <c r="E105" s="84">
        <v>9.8109999999999994E-4</v>
      </c>
      <c r="F105" s="83">
        <v>1.3276E-2</v>
      </c>
      <c r="G105" s="84">
        <v>243.97</v>
      </c>
      <c r="H105" s="93">
        <v>378.4</v>
      </c>
      <c r="I105" s="92">
        <v>1.1499999999999999</v>
      </c>
      <c r="J105" s="93">
        <v>1.5940000000000001</v>
      </c>
      <c r="L105" s="94">
        <v>30</v>
      </c>
      <c r="M105" s="84">
        <v>1.885</v>
      </c>
      <c r="N105" s="93">
        <v>1.88</v>
      </c>
      <c r="O105" s="111">
        <v>9.6502999999999997E-4</v>
      </c>
      <c r="P105" s="83">
        <v>1.3169E-2</v>
      </c>
      <c r="Q105" s="84">
        <v>248.29</v>
      </c>
      <c r="R105" s="93">
        <v>427.11</v>
      </c>
      <c r="S105" s="92">
        <v>1.1641999999999999</v>
      </c>
      <c r="T105" s="93">
        <v>1.7542</v>
      </c>
      <c r="V105" s="94">
        <v>30</v>
      </c>
      <c r="W105" s="84">
        <v>1.4670000000000001</v>
      </c>
      <c r="X105" s="93">
        <v>1.2837000000000001</v>
      </c>
      <c r="Y105" s="92">
        <v>9.3075204765450477E-4</v>
      </c>
      <c r="Z105" s="83">
        <v>1.7641351327511687E-2</v>
      </c>
      <c r="AA105" s="84">
        <v>244.82</v>
      </c>
      <c r="AB105" s="93">
        <v>412.88</v>
      </c>
      <c r="AC105" s="92">
        <v>1.153</v>
      </c>
      <c r="AD105" s="93">
        <v>1.7129000000000001</v>
      </c>
      <c r="AF105" s="94">
        <v>40</v>
      </c>
      <c r="AG105" s="84">
        <v>2.5966</v>
      </c>
      <c r="AH105" s="93">
        <v>2.1953999999999998</v>
      </c>
      <c r="AI105" s="84">
        <v>1.026E-3</v>
      </c>
      <c r="AJ105" s="93">
        <v>1.11E-2</v>
      </c>
      <c r="AK105" s="84">
        <v>265.8</v>
      </c>
      <c r="AL105" s="93">
        <v>426.1</v>
      </c>
      <c r="AM105" s="84">
        <v>1.2190000000000001</v>
      </c>
      <c r="AN105" s="93">
        <v>1.738</v>
      </c>
      <c r="AZ105" s="94">
        <v>50</v>
      </c>
      <c r="BA105" s="92">
        <v>2.03403</v>
      </c>
      <c r="BB105" s="93"/>
      <c r="BC105" s="84">
        <v>1.7765999999999999E-3</v>
      </c>
      <c r="BD105" s="132">
        <v>6.3350000000000004E-2</v>
      </c>
      <c r="BE105" s="92">
        <v>440.6</v>
      </c>
      <c r="BF105" s="93">
        <v>1491.1</v>
      </c>
      <c r="BG105" s="92">
        <v>1.7989999999999999</v>
      </c>
      <c r="BH105" s="93">
        <v>5.0496999999999996</v>
      </c>
    </row>
    <row r="106" spans="2:60" x14ac:dyDescent="0.4">
      <c r="B106" s="94">
        <v>31</v>
      </c>
      <c r="C106" s="84">
        <v>1.4617</v>
      </c>
      <c r="D106" s="93">
        <v>1.4477</v>
      </c>
      <c r="E106" s="84">
        <v>9.8609999999999995E-4</v>
      </c>
      <c r="F106" s="83">
        <v>1.2893E-2</v>
      </c>
      <c r="G106" s="84">
        <v>245.54</v>
      </c>
      <c r="H106" s="93">
        <v>378.69</v>
      </c>
      <c r="I106" s="92">
        <v>1.155</v>
      </c>
      <c r="J106" s="93">
        <v>1.593</v>
      </c>
      <c r="L106" s="94">
        <v>31</v>
      </c>
      <c r="M106" s="84">
        <v>1.9339999999999999</v>
      </c>
      <c r="N106" s="93">
        <v>1.929</v>
      </c>
      <c r="O106" s="111">
        <v>9.6995999999999992E-3</v>
      </c>
      <c r="P106" s="83">
        <v>1.2786E-2</v>
      </c>
      <c r="Q106" s="84">
        <v>250.02</v>
      </c>
      <c r="R106" s="93">
        <v>427.11</v>
      </c>
      <c r="S106" s="92">
        <v>1.1697</v>
      </c>
      <c r="T106" s="93">
        <v>1.7542</v>
      </c>
      <c r="V106" s="79">
        <v>31</v>
      </c>
      <c r="W106" s="84">
        <v>1.5049999999999999</v>
      </c>
      <c r="X106" s="93">
        <v>1.3190999999999999</v>
      </c>
      <c r="Y106" s="92">
        <v>9.3484154435823129E-4</v>
      </c>
      <c r="Z106" s="83">
        <v>1.7131501404783114E-2</v>
      </c>
      <c r="AA106" s="84">
        <v>246.4</v>
      </c>
      <c r="AB106" s="93">
        <v>413.17</v>
      </c>
      <c r="AC106" s="92">
        <v>1.1580999999999999</v>
      </c>
      <c r="AD106" s="93">
        <v>1.7119</v>
      </c>
      <c r="AF106" s="94">
        <v>41</v>
      </c>
      <c r="AG106" s="84">
        <v>2.6551</v>
      </c>
      <c r="AH106" s="93">
        <v>2.2515000000000001</v>
      </c>
      <c r="AI106" s="84">
        <v>1.0319999999999999E-3</v>
      </c>
      <c r="AJ106" s="93">
        <v>1.0800000000000001E-2</v>
      </c>
      <c r="AK106" s="84">
        <v>267.60000000000002</v>
      </c>
      <c r="AL106" s="93">
        <v>426.1</v>
      </c>
      <c r="AM106" s="84">
        <v>1.2250000000000001</v>
      </c>
      <c r="AN106" s="93">
        <v>1.736</v>
      </c>
      <c r="AZ106" s="79">
        <v>51</v>
      </c>
      <c r="BA106" s="106">
        <f>(BA105+BA107)/2</f>
        <v>2.0878649999999999</v>
      </c>
      <c r="BB106" s="121"/>
      <c r="BC106" s="106">
        <f t="shared" ref="BC106:BH106" si="145">(BC105+BC107)/2</f>
        <v>1.7820499999999999E-3</v>
      </c>
      <c r="BD106" s="108">
        <f t="shared" si="145"/>
        <v>6.1715000000000006E-2</v>
      </c>
      <c r="BE106" s="109">
        <f t="shared" si="145"/>
        <v>445.70000000000005</v>
      </c>
      <c r="BF106" s="110">
        <f t="shared" si="145"/>
        <v>1491.05</v>
      </c>
      <c r="BG106" s="109">
        <f t="shared" si="145"/>
        <v>1.8143500000000001</v>
      </c>
      <c r="BH106" s="110">
        <f t="shared" si="145"/>
        <v>5.0392999999999999</v>
      </c>
    </row>
    <row r="107" spans="2:60" x14ac:dyDescent="0.4">
      <c r="B107" s="94">
        <v>32</v>
      </c>
      <c r="C107" s="84">
        <v>1.4991000000000001</v>
      </c>
      <c r="D107" s="93">
        <v>1.4850000000000001</v>
      </c>
      <c r="E107" s="84">
        <v>9.9109999999999997E-4</v>
      </c>
      <c r="F107" s="83">
        <v>1.252E-2</v>
      </c>
      <c r="G107" s="84">
        <v>247.11</v>
      </c>
      <c r="H107" s="93">
        <v>378.98</v>
      </c>
      <c r="I107" s="92">
        <v>1.1600999999999999</v>
      </c>
      <c r="J107" s="93">
        <v>1.593</v>
      </c>
      <c r="L107" s="94">
        <v>32</v>
      </c>
      <c r="M107" s="84">
        <v>1.984</v>
      </c>
      <c r="N107" s="93">
        <v>1.978</v>
      </c>
      <c r="O107" s="111">
        <v>9.7501E-4</v>
      </c>
      <c r="P107" s="83">
        <v>1.2414E-2</v>
      </c>
      <c r="Q107" s="84">
        <v>251.75</v>
      </c>
      <c r="R107" s="93">
        <v>427.09</v>
      </c>
      <c r="S107" s="92">
        <v>1.1753</v>
      </c>
      <c r="T107" s="93">
        <v>1.75</v>
      </c>
      <c r="V107" s="94">
        <v>32</v>
      </c>
      <c r="W107" s="84">
        <v>1.5437000000000001</v>
      </c>
      <c r="X107" s="93">
        <v>1.3552</v>
      </c>
      <c r="Y107" s="92">
        <v>9.3896713615023472E-4</v>
      </c>
      <c r="Z107" s="83">
        <v>1.6637274149003428E-2</v>
      </c>
      <c r="AA107" s="84">
        <v>247.99</v>
      </c>
      <c r="AB107" s="93">
        <v>413.46</v>
      </c>
      <c r="AC107" s="92">
        <v>1.1632</v>
      </c>
      <c r="AD107" s="93">
        <v>1.7108000000000001</v>
      </c>
      <c r="AF107" s="94">
        <v>42</v>
      </c>
      <c r="AG107" s="84">
        <v>2.7145999999999999</v>
      </c>
      <c r="AH107" s="93">
        <v>2.3086000000000002</v>
      </c>
      <c r="AI107" s="84">
        <v>1.0380000000000001E-3</v>
      </c>
      <c r="AJ107" s="93">
        <v>1.04E-2</v>
      </c>
      <c r="AK107" s="84">
        <v>269.5</v>
      </c>
      <c r="AL107" s="93">
        <v>426</v>
      </c>
      <c r="AM107" s="84">
        <v>1.23</v>
      </c>
      <c r="AN107" s="93">
        <v>1.734</v>
      </c>
      <c r="AZ107" s="135">
        <v>52</v>
      </c>
      <c r="BA107" s="134">
        <v>2.1417000000000002</v>
      </c>
      <c r="BB107" s="121"/>
      <c r="BC107" s="118">
        <v>1.7875E-3</v>
      </c>
      <c r="BD107" s="121">
        <v>6.0080000000000001E-2</v>
      </c>
      <c r="BE107" s="118">
        <v>450.8</v>
      </c>
      <c r="BF107" s="121">
        <v>1491</v>
      </c>
      <c r="BG107" s="118">
        <v>1.8297000000000001</v>
      </c>
      <c r="BH107" s="121">
        <v>5.0289000000000001</v>
      </c>
    </row>
    <row r="108" spans="2:60" x14ac:dyDescent="0.4">
      <c r="B108" s="94">
        <v>33</v>
      </c>
      <c r="C108" s="84">
        <v>1.5373000000000001</v>
      </c>
      <c r="D108" s="93">
        <v>1.5230999999999999</v>
      </c>
      <c r="E108" s="84">
        <v>9.9630000000000009E-4</v>
      </c>
      <c r="F108" s="83">
        <v>1.2159E-2</v>
      </c>
      <c r="G108" s="84">
        <v>248.7</v>
      </c>
      <c r="H108" s="93">
        <v>379.25</v>
      </c>
      <c r="I108" s="92">
        <v>1.1651</v>
      </c>
      <c r="J108" s="93">
        <v>1.5920000000000001</v>
      </c>
      <c r="L108" s="94">
        <v>33</v>
      </c>
      <c r="M108" s="84">
        <v>2.0350000000000001</v>
      </c>
      <c r="N108" s="93">
        <v>2.0289999999999999</v>
      </c>
      <c r="O108" s="111">
        <v>9.8017999999999998E-4</v>
      </c>
      <c r="P108" s="83">
        <v>1.2052999999999999E-2</v>
      </c>
      <c r="Q108" s="84">
        <v>253.5</v>
      </c>
      <c r="R108" s="93">
        <v>427.06</v>
      </c>
      <c r="S108" s="92">
        <v>1.1808000000000001</v>
      </c>
      <c r="T108" s="93">
        <v>1.7479</v>
      </c>
      <c r="V108" s="79">
        <v>33</v>
      </c>
      <c r="W108" s="84">
        <v>1.5831</v>
      </c>
      <c r="X108" s="93">
        <v>1.3920999999999999</v>
      </c>
      <c r="Y108" s="92">
        <v>9.4321826070552727E-4</v>
      </c>
      <c r="Z108" s="83">
        <v>1.6158221302998967E-2</v>
      </c>
      <c r="AA108" s="84">
        <v>249.59</v>
      </c>
      <c r="AB108" s="93">
        <v>413.74</v>
      </c>
      <c r="AC108" s="92">
        <v>1.1682999999999999</v>
      </c>
      <c r="AD108" s="93">
        <v>1.7098</v>
      </c>
      <c r="AF108" s="94">
        <v>43</v>
      </c>
      <c r="AG108" s="84">
        <v>2.7749999999999999</v>
      </c>
      <c r="AH108" s="93">
        <v>2.367</v>
      </c>
      <c r="AI108" s="84">
        <v>1.0455E-3</v>
      </c>
      <c r="AJ108" s="93">
        <v>1.01E-2</v>
      </c>
      <c r="AK108" s="84">
        <v>271.3</v>
      </c>
      <c r="AL108" s="93">
        <v>425.9</v>
      </c>
      <c r="AM108" s="84">
        <v>1.236</v>
      </c>
      <c r="AN108" s="93">
        <v>1.7310000000000001</v>
      </c>
      <c r="AZ108" s="94">
        <v>53</v>
      </c>
      <c r="BA108" s="106">
        <f>(BA107+BA109)/2</f>
        <v>2.1976399999999998</v>
      </c>
      <c r="BB108" s="93"/>
      <c r="BC108" s="106">
        <f t="shared" ref="BC108:BH108" si="146">(BC107+BC109)/2</f>
        <v>1.7931000000000002E-3</v>
      </c>
      <c r="BD108" s="108">
        <f t="shared" si="146"/>
        <v>5.8545E-2</v>
      </c>
      <c r="BE108" s="109">
        <f t="shared" si="146"/>
        <v>455.9</v>
      </c>
      <c r="BF108" s="110">
        <f t="shared" si="146"/>
        <v>1490.85</v>
      </c>
      <c r="BG108" s="109">
        <f t="shared" si="146"/>
        <v>1.8450500000000001</v>
      </c>
      <c r="BH108" s="110">
        <f t="shared" si="146"/>
        <v>5.0184999999999995</v>
      </c>
    </row>
    <row r="109" spans="2:60" x14ac:dyDescent="0.4">
      <c r="B109" s="94">
        <v>34</v>
      </c>
      <c r="C109" s="84">
        <v>1.5762</v>
      </c>
      <c r="D109" s="93">
        <v>1.5168999999999999</v>
      </c>
      <c r="E109" s="84">
        <v>1.0016000000000001E-3</v>
      </c>
      <c r="F109" s="83">
        <v>1.1807E-2</v>
      </c>
      <c r="G109" s="84">
        <v>250.3</v>
      </c>
      <c r="H109" s="93">
        <v>379.5</v>
      </c>
      <c r="I109" s="92">
        <v>1.1701999999999999</v>
      </c>
      <c r="J109" s="93">
        <v>1.591</v>
      </c>
      <c r="L109" s="94">
        <v>34</v>
      </c>
      <c r="M109" s="84">
        <v>2.0870000000000002</v>
      </c>
      <c r="N109" s="93">
        <v>2.081</v>
      </c>
      <c r="O109" s="111">
        <v>9.8547999999999995E-4</v>
      </c>
      <c r="P109" s="83">
        <v>1.1702000000000001E-2</v>
      </c>
      <c r="Q109" s="84">
        <v>255.26</v>
      </c>
      <c r="R109" s="93">
        <v>427.02</v>
      </c>
      <c r="S109" s="92">
        <v>1.1863999999999999</v>
      </c>
      <c r="T109" s="93">
        <v>1.7457</v>
      </c>
      <c r="V109" s="94">
        <v>34</v>
      </c>
      <c r="W109" s="84">
        <v>1.6233</v>
      </c>
      <c r="X109" s="93">
        <v>1.4297</v>
      </c>
      <c r="Y109" s="92">
        <v>9.475080538184574E-4</v>
      </c>
      <c r="Z109" s="83">
        <v>1.5693413474364811E-2</v>
      </c>
      <c r="AA109" s="84">
        <v>251.2</v>
      </c>
      <c r="AB109" s="93">
        <v>414.01</v>
      </c>
      <c r="AC109" s="92">
        <v>1.1734</v>
      </c>
      <c r="AD109" s="93">
        <v>1.7087000000000001</v>
      </c>
      <c r="AF109" s="94">
        <v>44</v>
      </c>
      <c r="AG109" s="84">
        <v>2.8363999999999998</v>
      </c>
      <c r="AH109" s="93">
        <v>2.4264000000000001</v>
      </c>
      <c r="AI109" s="84">
        <v>1.052E-3</v>
      </c>
      <c r="AJ109" s="93">
        <v>9.7999999999999997E-3</v>
      </c>
      <c r="AK109" s="84">
        <v>273.2</v>
      </c>
      <c r="AL109" s="93">
        <v>425.8</v>
      </c>
      <c r="AM109" s="84">
        <v>1.242</v>
      </c>
      <c r="AN109" s="93">
        <v>1.7290000000000001</v>
      </c>
      <c r="AZ109" s="94">
        <v>54</v>
      </c>
      <c r="BA109" s="134">
        <v>2.2535799999999999</v>
      </c>
      <c r="BB109" s="136"/>
      <c r="BC109" s="133">
        <v>1.7987000000000001E-3</v>
      </c>
      <c r="BD109" s="136">
        <v>5.7009999999999998E-2</v>
      </c>
      <c r="BE109" s="133">
        <v>461</v>
      </c>
      <c r="BF109" s="136">
        <v>1490.7</v>
      </c>
      <c r="BG109" s="133">
        <v>1.8604000000000001</v>
      </c>
      <c r="BH109" s="136">
        <v>5.0080999999999998</v>
      </c>
    </row>
    <row r="110" spans="2:60" x14ac:dyDescent="0.4">
      <c r="B110" s="94">
        <v>35</v>
      </c>
      <c r="C110" s="84">
        <v>1.6157999999999999</v>
      </c>
      <c r="D110" s="93">
        <v>1.6013999999999999</v>
      </c>
      <c r="E110" s="84">
        <v>1.0070999999999999E-3</v>
      </c>
      <c r="F110" s="83">
        <v>1.1464999999999999E-2</v>
      </c>
      <c r="G110" s="84">
        <v>251.9</v>
      </c>
      <c r="H110" s="93">
        <v>379.75</v>
      </c>
      <c r="I110" s="92">
        <v>1.1753</v>
      </c>
      <c r="J110" s="93">
        <v>1.591</v>
      </c>
      <c r="L110" s="94">
        <v>35</v>
      </c>
      <c r="M110" s="84">
        <v>2.14</v>
      </c>
      <c r="N110" s="93">
        <v>2.1339999999999999</v>
      </c>
      <c r="O110" s="111">
        <v>9.9091999999999995E-4</v>
      </c>
      <c r="P110" s="83">
        <v>1.1361E-2</v>
      </c>
      <c r="Q110" s="84">
        <v>257.04000000000002</v>
      </c>
      <c r="R110" s="93">
        <v>426.95</v>
      </c>
      <c r="S110" s="92">
        <v>1.1919999999999999</v>
      </c>
      <c r="T110" s="93">
        <v>1.7435</v>
      </c>
      <c r="V110" s="79">
        <v>35</v>
      </c>
      <c r="W110" s="84">
        <v>1.6641999999999999</v>
      </c>
      <c r="X110" s="93">
        <v>1.4681</v>
      </c>
      <c r="Y110" s="92">
        <v>9.519276534983341E-4</v>
      </c>
      <c r="Z110" s="83">
        <v>1.5242740644767928E-2</v>
      </c>
      <c r="AA110" s="84">
        <v>252.81</v>
      </c>
      <c r="AB110" s="93">
        <v>414.27</v>
      </c>
      <c r="AC110" s="92">
        <v>1.1785000000000001</v>
      </c>
      <c r="AD110" s="93">
        <v>1.7076</v>
      </c>
      <c r="AF110" s="94">
        <v>45</v>
      </c>
      <c r="AG110" s="84">
        <v>2.8988</v>
      </c>
      <c r="AH110" s="93">
        <v>2.4870999999999999</v>
      </c>
      <c r="AI110" s="84">
        <v>1.059E-3</v>
      </c>
      <c r="AJ110" s="93">
        <v>9.4999999999999998E-3</v>
      </c>
      <c r="AK110" s="84">
        <v>275.10000000000002</v>
      </c>
      <c r="AL110" s="93">
        <v>425.7</v>
      </c>
      <c r="AM110" s="84">
        <v>1.2470000000000001</v>
      </c>
      <c r="AN110" s="93">
        <v>1.7270000000000001</v>
      </c>
      <c r="AZ110" s="79">
        <v>55</v>
      </c>
      <c r="BA110" s="106">
        <f>(BA109+BA111)/2</f>
        <v>2.3116849999999998</v>
      </c>
      <c r="BB110" s="93"/>
      <c r="BC110" s="106">
        <f t="shared" ref="BC110:BH110" si="147">(BC109+BC111)/2</f>
        <v>1.80445E-3</v>
      </c>
      <c r="BD110" s="108">
        <f t="shared" si="147"/>
        <v>5.5559999999999998E-2</v>
      </c>
      <c r="BE110" s="109">
        <f t="shared" si="147"/>
        <v>466.1</v>
      </c>
      <c r="BF110" s="110">
        <f t="shared" si="147"/>
        <v>1490.5500000000002</v>
      </c>
      <c r="BG110" s="109">
        <f t="shared" si="147"/>
        <v>1.87575</v>
      </c>
      <c r="BH110" s="110">
        <f t="shared" si="147"/>
        <v>4.9977</v>
      </c>
    </row>
    <row r="111" spans="2:60" x14ac:dyDescent="0.4">
      <c r="B111" s="94">
        <v>36</v>
      </c>
      <c r="C111" s="84">
        <v>1.6561999999999999</v>
      </c>
      <c r="D111" s="93">
        <v>1.6416999999999999</v>
      </c>
      <c r="E111" s="84">
        <v>1.0127000000000001E-3</v>
      </c>
      <c r="F111" s="83">
        <v>1.1133000000000001E-2</v>
      </c>
      <c r="G111" s="84">
        <v>253.52</v>
      </c>
      <c r="H111" s="93">
        <v>379.98</v>
      </c>
      <c r="I111" s="92">
        <v>1.1803999999999999</v>
      </c>
      <c r="J111" s="93">
        <v>1.59</v>
      </c>
      <c r="L111" s="94">
        <v>36</v>
      </c>
      <c r="M111" s="84">
        <v>2.194</v>
      </c>
      <c r="N111" s="93">
        <v>2.1869999999999998</v>
      </c>
      <c r="O111" s="111">
        <v>9.9649000000000005E-4</v>
      </c>
      <c r="P111" s="83">
        <v>1.1029000000000001E-2</v>
      </c>
      <c r="Q111" s="84">
        <v>258.82</v>
      </c>
      <c r="R111" s="93">
        <v>426.87</v>
      </c>
      <c r="S111" s="92">
        <v>1.1976</v>
      </c>
      <c r="T111" s="93">
        <v>1.7413000000000001</v>
      </c>
      <c r="V111" s="94">
        <v>36</v>
      </c>
      <c r="W111" s="84">
        <v>1.7058</v>
      </c>
      <c r="X111" s="93">
        <v>1.5073000000000001</v>
      </c>
      <c r="Y111" s="92">
        <v>9.5648015303682454E-4</v>
      </c>
      <c r="Z111" s="83">
        <v>1.4805602439963282E-2</v>
      </c>
      <c r="AA111" s="84">
        <v>254.43</v>
      </c>
      <c r="AB111" s="93">
        <v>414.52</v>
      </c>
      <c r="AC111" s="92">
        <v>1.1836</v>
      </c>
      <c r="AD111" s="93">
        <v>1.7064999999999999</v>
      </c>
      <c r="AF111" s="94">
        <v>46</v>
      </c>
      <c r="AG111" s="84">
        <v>2.9621</v>
      </c>
      <c r="AH111" s="93">
        <v>2.5489000000000002</v>
      </c>
      <c r="AI111" s="84">
        <v>1.0660000000000001E-3</v>
      </c>
      <c r="AJ111" s="93">
        <v>9.2999999999999992E-3</v>
      </c>
      <c r="AK111" s="84">
        <v>277</v>
      </c>
      <c r="AL111" s="93">
        <v>425.6</v>
      </c>
      <c r="AM111" s="84">
        <v>1.2529999999999999</v>
      </c>
      <c r="AN111" s="93">
        <v>1.7250000000000001</v>
      </c>
      <c r="AZ111" s="135">
        <v>56</v>
      </c>
      <c r="BA111" s="134">
        <v>2.3697900000000001</v>
      </c>
      <c r="BB111" s="93"/>
      <c r="BC111" s="92">
        <v>1.8102000000000001E-3</v>
      </c>
      <c r="BD111" s="93">
        <v>5.4109999999999998E-2</v>
      </c>
      <c r="BE111" s="92">
        <v>471.2</v>
      </c>
      <c r="BF111" s="93">
        <v>1490.4</v>
      </c>
      <c r="BG111" s="92">
        <v>1.8911</v>
      </c>
      <c r="BH111" s="93">
        <v>4.9873000000000003</v>
      </c>
    </row>
    <row r="112" spans="2:60" x14ac:dyDescent="0.4">
      <c r="B112" s="94">
        <v>37</v>
      </c>
      <c r="C112" s="84">
        <v>1.6973</v>
      </c>
      <c r="D112" s="93">
        <v>1.6828000000000001</v>
      </c>
      <c r="E112" s="84">
        <v>1.01845E-3</v>
      </c>
      <c r="F112" s="83">
        <v>1.0808999999999999E-2</v>
      </c>
      <c r="G112" s="84">
        <v>255.14</v>
      </c>
      <c r="H112" s="93">
        <v>380.2</v>
      </c>
      <c r="I112" s="92">
        <v>1.1855</v>
      </c>
      <c r="J112" s="93">
        <v>1.589</v>
      </c>
      <c r="L112" s="94">
        <v>37</v>
      </c>
      <c r="M112" s="84">
        <v>2.2490000000000001</v>
      </c>
      <c r="N112" s="93">
        <v>2.242</v>
      </c>
      <c r="O112" s="137">
        <v>1.0022E-3</v>
      </c>
      <c r="P112" s="83">
        <v>1.0707E-2</v>
      </c>
      <c r="Q112" s="84">
        <v>260.62</v>
      </c>
      <c r="R112" s="93">
        <v>426.77</v>
      </c>
      <c r="S112" s="92">
        <v>1.2032</v>
      </c>
      <c r="T112" s="93">
        <v>1.7390000000000001</v>
      </c>
      <c r="V112" s="79">
        <v>37</v>
      </c>
      <c r="W112" s="84">
        <v>1.7482</v>
      </c>
      <c r="X112" s="93">
        <v>1.5471999999999999</v>
      </c>
      <c r="Y112" s="92">
        <v>9.6107640557424319E-4</v>
      </c>
      <c r="Z112" s="83">
        <v>1.4381246854102251E-2</v>
      </c>
      <c r="AA112" s="84">
        <v>256.06</v>
      </c>
      <c r="AB112" s="93">
        <v>414.76</v>
      </c>
      <c r="AC112" s="92">
        <v>1.1887000000000001</v>
      </c>
      <c r="AD112" s="93">
        <v>1.7054</v>
      </c>
      <c r="AF112" s="94">
        <v>47</v>
      </c>
      <c r="AG112" s="84">
        <v>3.0265</v>
      </c>
      <c r="AH112" s="93">
        <v>2.6120000000000001</v>
      </c>
      <c r="AI112" s="84">
        <v>1.0740000000000001E-3</v>
      </c>
      <c r="AJ112" s="93">
        <v>8.9999999999999993E-3</v>
      </c>
      <c r="AK112" s="84">
        <v>278.89999999999998</v>
      </c>
      <c r="AL112" s="93">
        <v>425.4</v>
      </c>
      <c r="AM112" s="84">
        <v>1.2589999999999999</v>
      </c>
      <c r="AN112" s="93">
        <v>1.722</v>
      </c>
      <c r="AZ112" s="94">
        <v>57</v>
      </c>
      <c r="BA112" s="106">
        <f>(BA111+BA113)/2</f>
        <v>2.43011</v>
      </c>
      <c r="BB112" s="93"/>
      <c r="BC112" s="106">
        <f t="shared" ref="BC112:BH112" si="148">(BC111+BC113)/2</f>
        <v>1.81605E-3</v>
      </c>
      <c r="BD112" s="108">
        <f t="shared" si="148"/>
        <v>5.2745E-2</v>
      </c>
      <c r="BE112" s="109">
        <f t="shared" si="148"/>
        <v>476.4</v>
      </c>
      <c r="BF112" s="110">
        <f t="shared" si="148"/>
        <v>1490.15</v>
      </c>
      <c r="BG112" s="109">
        <f t="shared" si="148"/>
        <v>1.9064000000000001</v>
      </c>
      <c r="BH112" s="110">
        <f t="shared" si="148"/>
        <v>4.9769500000000004</v>
      </c>
    </row>
    <row r="113" spans="2:60" x14ac:dyDescent="0.4">
      <c r="B113" s="94">
        <v>38</v>
      </c>
      <c r="C113" s="84">
        <v>1.7392000000000001</v>
      </c>
      <c r="D113" s="93">
        <v>1.7245999999999999</v>
      </c>
      <c r="E113" s="84">
        <v>1.0244E-3</v>
      </c>
      <c r="F113" s="83">
        <v>1.0495000000000001E-2</v>
      </c>
      <c r="G113" s="84">
        <v>256.77999999999997</v>
      </c>
      <c r="H113" s="93">
        <v>380.4</v>
      </c>
      <c r="I113" s="92">
        <v>1.1907000000000001</v>
      </c>
      <c r="J113" s="93">
        <v>1.5880000000000001</v>
      </c>
      <c r="L113" s="94">
        <v>38</v>
      </c>
      <c r="M113" s="84">
        <v>2.3050000000000002</v>
      </c>
      <c r="N113" s="93">
        <v>2.298</v>
      </c>
      <c r="O113" s="137">
        <v>1.0081000000000001E-3</v>
      </c>
      <c r="P113" s="83">
        <v>1.0392999999999999E-2</v>
      </c>
      <c r="Q113" s="84">
        <v>262.43</v>
      </c>
      <c r="R113" s="93">
        <v>426.64</v>
      </c>
      <c r="S113" s="92">
        <v>1.2089000000000001</v>
      </c>
      <c r="T113" s="93">
        <v>1.7367999999999999</v>
      </c>
      <c r="V113" s="94">
        <v>38</v>
      </c>
      <c r="W113" s="84">
        <v>1.7914000000000001</v>
      </c>
      <c r="X113" s="93">
        <v>1.5880000000000001</v>
      </c>
      <c r="Y113" s="92">
        <v>9.6571704490584255E-4</v>
      </c>
      <c r="Z113" s="83">
        <v>1.3969406998672907E-2</v>
      </c>
      <c r="AA113" s="84">
        <v>257.7</v>
      </c>
      <c r="AB113" s="93">
        <v>414.98</v>
      </c>
      <c r="AC113" s="92">
        <v>1.1939</v>
      </c>
      <c r="AD113" s="93">
        <v>1.7042999999999999</v>
      </c>
      <c r="AF113" s="94">
        <v>48</v>
      </c>
      <c r="AG113" s="84">
        <v>3.0918999999999999</v>
      </c>
      <c r="AH113" s="93">
        <v>2.6764000000000001</v>
      </c>
      <c r="AI113" s="84">
        <v>1.0820000000000001E-3</v>
      </c>
      <c r="AJ113" s="93">
        <v>8.6999999999999994E-3</v>
      </c>
      <c r="AK113" s="84">
        <v>280.89999999999998</v>
      </c>
      <c r="AL113" s="93">
        <v>425.2</v>
      </c>
      <c r="AM113" s="84">
        <v>1.2649999999999999</v>
      </c>
      <c r="AN113" s="93">
        <v>1.72</v>
      </c>
      <c r="AZ113" s="135">
        <v>58</v>
      </c>
      <c r="BA113" s="134">
        <v>2.4904299999999999</v>
      </c>
      <c r="BB113" s="81"/>
      <c r="BC113" s="82">
        <v>1.8219E-3</v>
      </c>
      <c r="BD113" s="81">
        <v>5.1380000000000002E-2</v>
      </c>
      <c r="BE113" s="82">
        <v>481.6</v>
      </c>
      <c r="BF113" s="81">
        <v>1489.9</v>
      </c>
      <c r="BG113" s="82">
        <v>1.9217</v>
      </c>
      <c r="BH113" s="81">
        <v>4.9665999999999997</v>
      </c>
    </row>
    <row r="114" spans="2:60" x14ac:dyDescent="0.4">
      <c r="B114" s="94">
        <v>39</v>
      </c>
      <c r="C114" s="84">
        <v>1.7819</v>
      </c>
      <c r="D114" s="93">
        <v>1.7672000000000001</v>
      </c>
      <c r="E114" s="134">
        <v>1.03045E-3</v>
      </c>
      <c r="F114" s="83">
        <v>1.0187999999999999E-2</v>
      </c>
      <c r="G114" s="84">
        <v>258.43</v>
      </c>
      <c r="H114" s="93">
        <v>380.59</v>
      </c>
      <c r="I114" s="92">
        <v>1.1958</v>
      </c>
      <c r="J114" s="93">
        <v>1.5880000000000001</v>
      </c>
      <c r="L114" s="94">
        <v>39</v>
      </c>
      <c r="M114" s="84">
        <v>2.3610000000000002</v>
      </c>
      <c r="N114" s="93">
        <v>2.355</v>
      </c>
      <c r="O114" s="137">
        <v>1.0142E-3</v>
      </c>
      <c r="P114" s="83">
        <v>1.0087E-2</v>
      </c>
      <c r="Q114" s="84">
        <v>264.25</v>
      </c>
      <c r="R114" s="93">
        <v>426.5</v>
      </c>
      <c r="S114" s="92">
        <v>1.2144999999999999</v>
      </c>
      <c r="T114" s="93">
        <v>1.7343999999999999</v>
      </c>
      <c r="V114" s="79">
        <v>39</v>
      </c>
      <c r="W114" s="84">
        <v>1.8353999999999999</v>
      </c>
      <c r="X114" s="93">
        <v>1.6295999999999999</v>
      </c>
      <c r="Y114" s="92">
        <v>9.7059108997379407E-4</v>
      </c>
      <c r="Z114" s="83">
        <v>1.3569625749721823E-2</v>
      </c>
      <c r="AA114" s="84">
        <v>259.33999999999997</v>
      </c>
      <c r="AB114" s="93">
        <v>415.2</v>
      </c>
      <c r="AC114" s="92">
        <v>1.1990000000000001</v>
      </c>
      <c r="AD114" s="93">
        <v>1.7031000000000001</v>
      </c>
      <c r="AF114" s="94">
        <v>49</v>
      </c>
      <c r="AG114" s="84">
        <v>3.1581999999999999</v>
      </c>
      <c r="AH114" s="93">
        <v>2.742</v>
      </c>
      <c r="AI114" s="84">
        <v>1.09E-3</v>
      </c>
      <c r="AJ114" s="93">
        <v>8.3999999999999995E-3</v>
      </c>
      <c r="AK114" s="84">
        <v>282.89999999999998</v>
      </c>
      <c r="AL114" s="93">
        <v>425</v>
      </c>
      <c r="AM114" s="84">
        <v>1.2709999999999999</v>
      </c>
      <c r="AN114" s="93">
        <v>1.718</v>
      </c>
      <c r="AZ114" s="94">
        <v>59</v>
      </c>
      <c r="BA114" s="106">
        <f>(BA113+BA115)/2</f>
        <v>2.5530150000000003</v>
      </c>
      <c r="BB114" s="81"/>
      <c r="BC114" s="106">
        <f t="shared" ref="BC114:BH114" si="149">(BC113+BC115)/2</f>
        <v>1.8279500000000001E-3</v>
      </c>
      <c r="BD114" s="108">
        <f t="shared" si="149"/>
        <v>5.0090000000000003E-2</v>
      </c>
      <c r="BE114" s="109">
        <f t="shared" si="149"/>
        <v>486.8</v>
      </c>
      <c r="BF114" s="110">
        <f t="shared" si="149"/>
        <v>1489.6</v>
      </c>
      <c r="BG114" s="109">
        <f t="shared" si="149"/>
        <v>1.9369999999999998</v>
      </c>
      <c r="BH114" s="110">
        <f t="shared" si="149"/>
        <v>4.9561999999999999</v>
      </c>
    </row>
    <row r="115" spans="2:60" ht="16.5" thickBot="1" x14ac:dyDescent="0.45">
      <c r="B115" s="94">
        <v>40</v>
      </c>
      <c r="C115" s="84">
        <v>1.8253999999999999</v>
      </c>
      <c r="D115" s="93">
        <v>1.8106</v>
      </c>
      <c r="E115" s="120">
        <v>1.0367E-3</v>
      </c>
      <c r="F115" s="138">
        <v>9.8901000000000006E-3</v>
      </c>
      <c r="G115" s="84">
        <v>260.08999999999997</v>
      </c>
      <c r="H115" s="93">
        <v>380.77</v>
      </c>
      <c r="I115" s="92">
        <v>1.2010000000000001</v>
      </c>
      <c r="J115" s="93">
        <v>1.587</v>
      </c>
      <c r="L115" s="94">
        <v>40</v>
      </c>
      <c r="M115" s="84">
        <v>2.419</v>
      </c>
      <c r="N115" s="93">
        <v>2.4129999999999998</v>
      </c>
      <c r="O115" s="137">
        <v>1.0204000000000001E-3</v>
      </c>
      <c r="P115" s="83">
        <v>9.7900000000000001E-3</v>
      </c>
      <c r="Q115" s="84">
        <v>266.08999999999997</v>
      </c>
      <c r="R115" s="93">
        <v>426.34</v>
      </c>
      <c r="S115" s="92">
        <v>1.2202</v>
      </c>
      <c r="T115" s="93">
        <v>1.7321</v>
      </c>
      <c r="V115" s="94">
        <v>40</v>
      </c>
      <c r="W115" s="84">
        <v>1.8801000000000001</v>
      </c>
      <c r="X115" s="93">
        <v>1.6719999999999999</v>
      </c>
      <c r="Y115" s="92">
        <v>9.7551458394303002E-4</v>
      </c>
      <c r="Z115" s="83">
        <v>1.3181135159359925E-2</v>
      </c>
      <c r="AA115" s="84">
        <v>261</v>
      </c>
      <c r="AB115" s="93">
        <v>415.4</v>
      </c>
      <c r="AC115" s="92">
        <v>1.2041999999999999</v>
      </c>
      <c r="AD115" s="93">
        <v>1.702</v>
      </c>
      <c r="AF115" s="94">
        <v>50</v>
      </c>
      <c r="AG115" s="84">
        <v>3.2256</v>
      </c>
      <c r="AH115" s="93">
        <v>2.8089</v>
      </c>
      <c r="AI115" s="84">
        <v>1.098E-3</v>
      </c>
      <c r="AJ115" s="93">
        <v>8.2000000000000007E-3</v>
      </c>
      <c r="AK115" s="84">
        <v>28.48</v>
      </c>
      <c r="AL115" s="93">
        <v>424.7</v>
      </c>
      <c r="AM115" s="84">
        <v>1.2769999999999999</v>
      </c>
      <c r="AN115" s="93">
        <v>1.7150000000000001</v>
      </c>
      <c r="AZ115" s="123">
        <v>60</v>
      </c>
      <c r="BA115" s="128">
        <v>2.6156000000000001</v>
      </c>
      <c r="BB115" s="129"/>
      <c r="BC115" s="126">
        <v>1.8339999999999999E-3</v>
      </c>
      <c r="BD115" s="129">
        <v>4.8800000000000003E-2</v>
      </c>
      <c r="BE115" s="126">
        <v>492</v>
      </c>
      <c r="BF115" s="129">
        <v>1489.3</v>
      </c>
      <c r="BG115" s="126">
        <v>1.9522999999999999</v>
      </c>
      <c r="BH115" s="129">
        <v>4.9458000000000002</v>
      </c>
    </row>
    <row r="116" spans="2:60" x14ac:dyDescent="0.4">
      <c r="B116" s="94">
        <v>41</v>
      </c>
      <c r="C116" s="84">
        <v>1.8695999999999999</v>
      </c>
      <c r="D116" s="93">
        <v>1.8548</v>
      </c>
      <c r="E116" s="120">
        <v>1.0417E-3</v>
      </c>
      <c r="F116" s="138">
        <v>9.5995000000000004E-3</v>
      </c>
      <c r="G116" s="84">
        <v>261.76</v>
      </c>
      <c r="H116" s="93">
        <v>380.92</v>
      </c>
      <c r="I116" s="92">
        <v>1.2061999999999999</v>
      </c>
      <c r="J116" s="93">
        <v>1.5860000000000001</v>
      </c>
      <c r="L116" s="94">
        <v>41</v>
      </c>
      <c r="M116" s="84">
        <v>2.4790000000000001</v>
      </c>
      <c r="N116" s="93">
        <v>2.472</v>
      </c>
      <c r="O116" s="137">
        <v>1.0268E-3</v>
      </c>
      <c r="P116" s="83">
        <v>9.4999999999999998E-3</v>
      </c>
      <c r="Q116" s="84">
        <v>267.94</v>
      </c>
      <c r="R116" s="93">
        <v>426.15</v>
      </c>
      <c r="S116" s="92">
        <v>1.2259</v>
      </c>
      <c r="T116" s="93">
        <v>1.7297</v>
      </c>
      <c r="V116" s="79">
        <v>41</v>
      </c>
      <c r="W116" s="84">
        <v>1.9257</v>
      </c>
      <c r="X116" s="93">
        <v>1.7153</v>
      </c>
      <c r="Y116" s="92">
        <v>9.8048828316501624E-4</v>
      </c>
      <c r="Z116" s="83">
        <v>1.2803933368330751E-2</v>
      </c>
      <c r="AA116" s="84">
        <v>262.66000000000003</v>
      </c>
      <c r="AB116" s="93">
        <v>415.6</v>
      </c>
      <c r="AC116" s="92">
        <v>1.2093</v>
      </c>
      <c r="AD116" s="93">
        <v>1.7008000000000001</v>
      </c>
      <c r="AF116" s="94">
        <v>51</v>
      </c>
      <c r="AG116" s="84">
        <v>3.294</v>
      </c>
      <c r="AH116" s="93">
        <v>2.8772000000000002</v>
      </c>
      <c r="AI116" s="84">
        <v>1.1069999999999999E-3</v>
      </c>
      <c r="AJ116" s="93">
        <v>7.9000000000000008E-3</v>
      </c>
      <c r="AK116" s="84">
        <v>286.89999999999998</v>
      </c>
      <c r="AL116" s="93">
        <v>424.5</v>
      </c>
      <c r="AM116" s="84">
        <v>1.2829999999999999</v>
      </c>
      <c r="AN116" s="93">
        <v>1.7130000000000001</v>
      </c>
    </row>
    <row r="117" spans="2:60" x14ac:dyDescent="0.4">
      <c r="B117" s="94">
        <v>42</v>
      </c>
      <c r="C117" s="84">
        <v>1.9147000000000001</v>
      </c>
      <c r="D117" s="93">
        <v>1.8998999999999999</v>
      </c>
      <c r="E117" s="84">
        <v>1.0498E-3</v>
      </c>
      <c r="F117" s="138">
        <v>9.3164000000000007E-3</v>
      </c>
      <c r="G117" s="84">
        <v>263.44</v>
      </c>
      <c r="H117" s="93">
        <v>381.06</v>
      </c>
      <c r="I117" s="92">
        <v>1.2114</v>
      </c>
      <c r="J117" s="93">
        <v>1.585</v>
      </c>
      <c r="L117" s="94">
        <v>42</v>
      </c>
      <c r="M117" s="84">
        <v>2.5390000000000001</v>
      </c>
      <c r="N117" s="93">
        <v>2.532</v>
      </c>
      <c r="O117" s="137">
        <v>1.0334000000000001E-3</v>
      </c>
      <c r="P117" s="83">
        <v>9.2180000000000005E-3</v>
      </c>
      <c r="Q117" s="84">
        <v>269.81</v>
      </c>
      <c r="R117" s="93">
        <v>425.94</v>
      </c>
      <c r="S117" s="92">
        <v>1.2317</v>
      </c>
      <c r="T117" s="93">
        <v>1.7272000000000001</v>
      </c>
      <c r="V117" s="94">
        <v>42</v>
      </c>
      <c r="W117" s="84">
        <v>1.972</v>
      </c>
      <c r="X117" s="93">
        <v>1.7594000000000001</v>
      </c>
      <c r="Y117" s="92">
        <v>9.8570724494825043E-4</v>
      </c>
      <c r="Z117" s="83">
        <v>1.2437346865166721E-2</v>
      </c>
      <c r="AA117" s="84">
        <v>264.33999999999997</v>
      </c>
      <c r="AB117" s="93">
        <v>415.77</v>
      </c>
      <c r="AC117" s="92">
        <v>1.2144999999999999</v>
      </c>
      <c r="AD117" s="93">
        <v>1.6996</v>
      </c>
      <c r="AF117" s="94">
        <v>52</v>
      </c>
      <c r="AG117" s="84">
        <v>3.3635000000000002</v>
      </c>
      <c r="AH117" s="93">
        <v>2.9468000000000001</v>
      </c>
      <c r="AI117" s="84">
        <v>1.116E-3</v>
      </c>
      <c r="AJ117" s="93">
        <v>7.7000000000000002E-3</v>
      </c>
      <c r="AK117" s="84">
        <v>288.89999999999998</v>
      </c>
      <c r="AL117" s="93">
        <v>424.1</v>
      </c>
      <c r="AM117" s="84">
        <v>1.2889999999999999</v>
      </c>
      <c r="AN117" s="93">
        <v>1.71</v>
      </c>
    </row>
    <row r="118" spans="2:60" x14ac:dyDescent="0.4">
      <c r="B118" s="94">
        <v>43</v>
      </c>
      <c r="C118" s="84">
        <v>1.9605999999999999</v>
      </c>
      <c r="D118" s="93">
        <v>1.9457</v>
      </c>
      <c r="E118" s="134">
        <v>1.0567E-3</v>
      </c>
      <c r="F118" s="138">
        <v>9.0404999999999999E-3</v>
      </c>
      <c r="G118" s="84">
        <v>365.11</v>
      </c>
      <c r="H118" s="93">
        <v>381.19</v>
      </c>
      <c r="I118" s="92">
        <v>1.2165999999999999</v>
      </c>
      <c r="J118" s="93">
        <v>1.5840000000000001</v>
      </c>
      <c r="L118" s="94">
        <v>43</v>
      </c>
      <c r="M118" s="84">
        <v>2.6</v>
      </c>
      <c r="N118" s="93">
        <v>2.593</v>
      </c>
      <c r="O118" s="137">
        <v>1.0403000000000001E-3</v>
      </c>
      <c r="P118" s="83">
        <v>8.9429999999999996E-3</v>
      </c>
      <c r="Q118" s="84">
        <v>271.7</v>
      </c>
      <c r="R118" s="93">
        <v>425.7</v>
      </c>
      <c r="S118" s="92">
        <v>1.2374000000000001</v>
      </c>
      <c r="T118" s="93">
        <v>1.7246999999999999</v>
      </c>
      <c r="V118" s="79">
        <v>43</v>
      </c>
      <c r="W118" s="84">
        <v>2.0192000000000001</v>
      </c>
      <c r="X118" s="93">
        <v>1.8044</v>
      </c>
      <c r="Y118" s="92">
        <v>9.9098206322465561E-4</v>
      </c>
      <c r="Z118" s="83">
        <v>1.2081088264430859E-2</v>
      </c>
      <c r="AA118" s="84">
        <v>266.02</v>
      </c>
      <c r="AB118" s="93">
        <v>415.94</v>
      </c>
      <c r="AC118" s="92">
        <v>1.2197</v>
      </c>
      <c r="AD118" s="93">
        <v>1.6982999999999999</v>
      </c>
      <c r="AF118" s="94">
        <v>53</v>
      </c>
      <c r="AG118" s="84">
        <v>3.4340000000000002</v>
      </c>
      <c r="AH118" s="93">
        <v>3.0177999999999998</v>
      </c>
      <c r="AI118" s="84">
        <v>1.126E-3</v>
      </c>
      <c r="AJ118" s="93">
        <v>7.4000000000000003E-3</v>
      </c>
      <c r="AK118" s="84">
        <v>291</v>
      </c>
      <c r="AL118" s="93">
        <v>423.8</v>
      </c>
      <c r="AM118" s="84">
        <v>1.2949999999999999</v>
      </c>
      <c r="AN118" s="93">
        <v>1.7070000000000001</v>
      </c>
    </row>
    <row r="119" spans="2:60" x14ac:dyDescent="0.4">
      <c r="B119" s="94">
        <v>44</v>
      </c>
      <c r="C119" s="84">
        <v>2.0072999999999999</v>
      </c>
      <c r="D119" s="93">
        <v>1.9923999999999999</v>
      </c>
      <c r="E119" s="84">
        <v>1.0637999999999999E-3</v>
      </c>
      <c r="F119" s="138">
        <v>8.7712999999999992E-3</v>
      </c>
      <c r="G119" s="84">
        <v>266.85000000000002</v>
      </c>
      <c r="H119" s="93">
        <v>381.29</v>
      </c>
      <c r="I119" s="92">
        <v>1.2218</v>
      </c>
      <c r="J119" s="93">
        <v>1.583</v>
      </c>
      <c r="L119" s="94">
        <v>44</v>
      </c>
      <c r="M119" s="84">
        <v>2.6619999999999999</v>
      </c>
      <c r="N119" s="93">
        <v>2.6549999999999998</v>
      </c>
      <c r="O119" s="137">
        <v>1.0472999999999999E-3</v>
      </c>
      <c r="P119" s="83">
        <v>8.6750000000000004E-3</v>
      </c>
      <c r="Q119" s="84">
        <v>273.60000000000002</v>
      </c>
      <c r="R119" s="93">
        <v>425.44</v>
      </c>
      <c r="S119" s="92">
        <v>1.2432000000000001</v>
      </c>
      <c r="T119" s="93">
        <v>1.7221</v>
      </c>
      <c r="V119" s="94">
        <v>44</v>
      </c>
      <c r="W119" s="84">
        <v>2.0672000000000001</v>
      </c>
      <c r="X119" s="93">
        <v>1.8503000000000001</v>
      </c>
      <c r="Y119" s="92">
        <v>9.9641291351135913E-4</v>
      </c>
      <c r="Z119" s="83">
        <v>1.1734747761596864E-2</v>
      </c>
      <c r="AA119" s="84">
        <v>267.72000000000003</v>
      </c>
      <c r="AB119" s="93">
        <v>416.09</v>
      </c>
      <c r="AC119" s="92">
        <v>1.2249000000000001</v>
      </c>
      <c r="AD119" s="93">
        <v>1.6971000000000001</v>
      </c>
      <c r="AF119" s="94">
        <v>54</v>
      </c>
      <c r="AG119" s="84">
        <v>3.5055000000000001</v>
      </c>
      <c r="AH119" s="93">
        <v>3.0901999999999998</v>
      </c>
      <c r="AI119" s="84">
        <v>1.1360000000000001E-3</v>
      </c>
      <c r="AJ119" s="93">
        <v>7.1999999999999998E-3</v>
      </c>
      <c r="AK119" s="84">
        <v>293</v>
      </c>
      <c r="AL119" s="93">
        <v>423.4</v>
      </c>
      <c r="AM119" s="84">
        <v>1.3009999999999999</v>
      </c>
      <c r="AN119" s="93">
        <v>1.704</v>
      </c>
    </row>
    <row r="120" spans="2:60" x14ac:dyDescent="0.4">
      <c r="B120" s="94">
        <v>45</v>
      </c>
      <c r="C120" s="84">
        <v>2.0548999999999999</v>
      </c>
      <c r="D120" s="93">
        <v>2.0398999999999998</v>
      </c>
      <c r="E120" s="134">
        <v>1.07117E-3</v>
      </c>
      <c r="F120" s="138">
        <v>8.5088000000000004E-3</v>
      </c>
      <c r="G120" s="84">
        <v>268.58</v>
      </c>
      <c r="H120" s="93">
        <v>391.37</v>
      </c>
      <c r="I120" s="92">
        <v>1.2271000000000001</v>
      </c>
      <c r="J120" s="93">
        <v>1.5820000000000001</v>
      </c>
      <c r="L120" s="94">
        <v>45</v>
      </c>
      <c r="M120" s="84">
        <v>2.726</v>
      </c>
      <c r="N120" s="93">
        <v>2.7189999999999999</v>
      </c>
      <c r="O120" s="137">
        <v>1.0545999999999999E-3</v>
      </c>
      <c r="P120" s="83">
        <v>8.4130000000000003E-3</v>
      </c>
      <c r="Q120" s="84">
        <v>275.52</v>
      </c>
      <c r="R120" s="93">
        <v>425.15</v>
      </c>
      <c r="S120" s="92">
        <v>1.2491000000000001</v>
      </c>
      <c r="T120" s="93">
        <v>1.7195</v>
      </c>
      <c r="V120" s="79">
        <v>45</v>
      </c>
      <c r="W120" s="84">
        <v>2.1160000000000001</v>
      </c>
      <c r="X120" s="93">
        <v>1.897</v>
      </c>
      <c r="Y120" s="92">
        <v>1.0019236934915036E-3</v>
      </c>
      <c r="Z120" s="83">
        <v>1.1397959765202029E-2</v>
      </c>
      <c r="AA120" s="84">
        <v>269.42</v>
      </c>
      <c r="AB120" s="93">
        <v>416.23</v>
      </c>
      <c r="AC120" s="92">
        <v>1.2301</v>
      </c>
      <c r="AD120" s="93">
        <v>1.6958</v>
      </c>
      <c r="AF120" s="94">
        <v>55</v>
      </c>
      <c r="AG120" s="84">
        <v>3.5781000000000001</v>
      </c>
      <c r="AH120" s="93">
        <v>3.1640999999999999</v>
      </c>
      <c r="AI120" s="84">
        <v>1.1460000000000001E-3</v>
      </c>
      <c r="AJ120" s="93">
        <v>7.0000000000000001E-3</v>
      </c>
      <c r="AK120" s="84">
        <v>295.2</v>
      </c>
      <c r="AL120" s="93">
        <v>423</v>
      </c>
      <c r="AM120" s="84">
        <v>1.3069999999999999</v>
      </c>
      <c r="AN120" s="93">
        <v>1.702</v>
      </c>
    </row>
    <row r="121" spans="2:60" x14ac:dyDescent="0.4">
      <c r="B121" s="94">
        <v>46</v>
      </c>
      <c r="C121" s="84">
        <v>2.1032999999999999</v>
      </c>
      <c r="D121" s="93">
        <v>2.0884</v>
      </c>
      <c r="E121" s="84">
        <v>1.0712E-3</v>
      </c>
      <c r="F121" s="138">
        <v>8.2524999999999994E-3</v>
      </c>
      <c r="G121" s="84">
        <v>270.32</v>
      </c>
      <c r="H121" s="93">
        <v>381.44</v>
      </c>
      <c r="I121" s="92">
        <v>1.2323999999999999</v>
      </c>
      <c r="J121" s="93">
        <v>1.581</v>
      </c>
      <c r="L121" s="94">
        <v>46</v>
      </c>
      <c r="M121" s="84">
        <v>2.7909999999999999</v>
      </c>
      <c r="N121" s="93">
        <v>2.7829999999999999</v>
      </c>
      <c r="O121" s="137">
        <v>1.0621999999999999E-3</v>
      </c>
      <c r="P121" s="83">
        <v>8.1580000000000003E-3</v>
      </c>
      <c r="Q121" s="84">
        <v>277.45999999999998</v>
      </c>
      <c r="R121" s="93">
        <v>424.83</v>
      </c>
      <c r="S121" s="92">
        <v>1.2549999999999999</v>
      </c>
      <c r="T121" s="93">
        <v>1.7168000000000001</v>
      </c>
      <c r="V121" s="94">
        <v>46</v>
      </c>
      <c r="W121" s="84">
        <v>2.1656</v>
      </c>
      <c r="X121" s="93">
        <v>1.9447000000000001</v>
      </c>
      <c r="Y121" s="92">
        <v>1.007627742006993E-3</v>
      </c>
      <c r="Z121" s="83">
        <v>1.1070274099986717E-2</v>
      </c>
      <c r="AA121" s="84">
        <v>271.14</v>
      </c>
      <c r="AB121" s="93">
        <v>416.35</v>
      </c>
      <c r="AC121" s="92">
        <v>1.2354000000000001</v>
      </c>
      <c r="AD121" s="93">
        <v>1.6944999999999999</v>
      </c>
      <c r="AF121" s="94">
        <v>56</v>
      </c>
      <c r="AG121" s="84">
        <v>3.6518000000000002</v>
      </c>
      <c r="AH121" s="93">
        <v>3.2395</v>
      </c>
      <c r="AI121" s="84">
        <v>1.157E-3</v>
      </c>
      <c r="AJ121" s="93">
        <v>6.7000000000000002E-3</v>
      </c>
      <c r="AK121" s="84">
        <v>297.3</v>
      </c>
      <c r="AL121" s="93">
        <v>422.5</v>
      </c>
      <c r="AM121" s="84">
        <v>1.3140000000000001</v>
      </c>
      <c r="AN121" s="93">
        <v>1.6990000000000001</v>
      </c>
    </row>
    <row r="122" spans="2:60" x14ac:dyDescent="0.4">
      <c r="B122" s="94">
        <v>47</v>
      </c>
      <c r="C122" s="84">
        <v>2.1526000000000001</v>
      </c>
      <c r="D122" s="93">
        <v>2.1377000000000002</v>
      </c>
      <c r="E122" s="92">
        <v>1.0866999999999999E-3</v>
      </c>
      <c r="F122" s="138">
        <v>8.0023000000000004E-3</v>
      </c>
      <c r="G122" s="84">
        <v>272.08</v>
      </c>
      <c r="H122" s="93">
        <v>381.47</v>
      </c>
      <c r="I122" s="92">
        <v>1.2378</v>
      </c>
      <c r="J122" s="93">
        <v>1.58</v>
      </c>
      <c r="L122" s="94">
        <v>47</v>
      </c>
      <c r="M122" s="84">
        <v>2.8559999999999999</v>
      </c>
      <c r="N122" s="93">
        <v>2.8490000000000002</v>
      </c>
      <c r="O122" s="137">
        <v>1.07E-3</v>
      </c>
      <c r="P122" s="83">
        <v>7.9089999999999994E-3</v>
      </c>
      <c r="Q122" s="84">
        <v>279.42</v>
      </c>
      <c r="R122" s="93">
        <v>424.48</v>
      </c>
      <c r="S122" s="92">
        <v>1.2608999999999999</v>
      </c>
      <c r="T122" s="93">
        <v>1.7141</v>
      </c>
      <c r="V122" s="79">
        <v>47</v>
      </c>
      <c r="W122" s="84">
        <v>2.2161</v>
      </c>
      <c r="X122" s="93">
        <v>1.9933000000000001</v>
      </c>
      <c r="Y122" s="92">
        <v>1.0134895458553345E-3</v>
      </c>
      <c r="Z122" s="83">
        <v>1.0751416499123759E-2</v>
      </c>
      <c r="AA122" s="84">
        <v>272.87</v>
      </c>
      <c r="AB122" s="93">
        <v>416.46</v>
      </c>
      <c r="AC122" s="92">
        <v>1.2405999999999999</v>
      </c>
      <c r="AD122" s="93">
        <v>1.6932</v>
      </c>
      <c r="AF122" s="94">
        <v>57</v>
      </c>
      <c r="AG122" s="84">
        <v>3.7265000000000001</v>
      </c>
      <c r="AH122" s="93">
        <v>3.3315999999999999</v>
      </c>
      <c r="AI122" s="84">
        <v>1.1689999999999999E-3</v>
      </c>
      <c r="AJ122" s="93">
        <v>6.4999999999999997E-3</v>
      </c>
      <c r="AK122" s="84">
        <v>299.5</v>
      </c>
      <c r="AL122" s="93">
        <v>422</v>
      </c>
      <c r="AM122" s="84">
        <v>1.32</v>
      </c>
      <c r="AN122" s="93">
        <v>1.6950000000000001</v>
      </c>
    </row>
    <row r="123" spans="2:60" x14ac:dyDescent="0.4">
      <c r="B123" s="94">
        <v>48</v>
      </c>
      <c r="C123" s="84">
        <v>2.2027000000000001</v>
      </c>
      <c r="D123" s="93">
        <v>2.1878000000000002</v>
      </c>
      <c r="E123" s="92">
        <v>1.0866999999999999E-3</v>
      </c>
      <c r="F123" s="138">
        <v>7.7578999999999999E-3</v>
      </c>
      <c r="G123" s="84">
        <v>273.86</v>
      </c>
      <c r="H123" s="93">
        <v>381.49</v>
      </c>
      <c r="I123" s="92">
        <v>1.2431000000000001</v>
      </c>
      <c r="J123" s="93">
        <v>1.579</v>
      </c>
      <c r="L123" s="94">
        <v>48</v>
      </c>
      <c r="M123" s="84">
        <v>2.923</v>
      </c>
      <c r="N123" s="93">
        <v>2.9159999999999999</v>
      </c>
      <c r="O123" s="137">
        <v>1.0781E-3</v>
      </c>
      <c r="P123" s="83">
        <v>7.6660000000000001E-3</v>
      </c>
      <c r="Q123" s="84">
        <v>281.39999999999998</v>
      </c>
      <c r="R123" s="93">
        <v>424.1</v>
      </c>
      <c r="S123" s="92">
        <v>1.2667999999999999</v>
      </c>
      <c r="T123" s="93">
        <v>1.7113</v>
      </c>
      <c r="V123" s="94">
        <v>48</v>
      </c>
      <c r="W123" s="84">
        <v>2.2675000000000001</v>
      </c>
      <c r="X123" s="93">
        <v>2.0428000000000002</v>
      </c>
      <c r="Y123" s="92">
        <v>1.0195134881634484E-3</v>
      </c>
      <c r="Z123" s="83">
        <v>1.0441138084051161E-2</v>
      </c>
      <c r="AA123" s="84">
        <v>274.61</v>
      </c>
      <c r="AB123" s="93">
        <v>416.55</v>
      </c>
      <c r="AC123" s="92">
        <v>1.2459</v>
      </c>
      <c r="AD123" s="93">
        <v>1.6918</v>
      </c>
      <c r="AF123" s="94">
        <v>58</v>
      </c>
      <c r="AG123" s="84">
        <v>3.8022</v>
      </c>
      <c r="AH123" s="93">
        <v>3.3948999999999998</v>
      </c>
      <c r="AI123" s="84">
        <v>1.181E-3</v>
      </c>
      <c r="AJ123" s="93">
        <v>6.3E-3</v>
      </c>
      <c r="AK123" s="84">
        <v>301.7</v>
      </c>
      <c r="AL123" s="93">
        <v>421.4</v>
      </c>
      <c r="AM123" s="84">
        <v>1.3260000000000001</v>
      </c>
      <c r="AN123" s="93">
        <v>1.6919999999999999</v>
      </c>
    </row>
    <row r="124" spans="2:60" x14ac:dyDescent="0.4">
      <c r="B124" s="94">
        <v>49</v>
      </c>
      <c r="C124" s="84">
        <v>2.2538</v>
      </c>
      <c r="D124" s="93">
        <v>2.2389000000000001</v>
      </c>
      <c r="E124" s="92">
        <v>1.1034E-3</v>
      </c>
      <c r="F124" s="138">
        <v>7.5189000000000002E-3</v>
      </c>
      <c r="G124" s="84">
        <v>275.64999999999998</v>
      </c>
      <c r="H124" s="93">
        <v>381.48</v>
      </c>
      <c r="I124" s="92">
        <v>1.2484999999999999</v>
      </c>
      <c r="J124" s="93">
        <v>1.577</v>
      </c>
      <c r="L124" s="94">
        <v>49</v>
      </c>
      <c r="M124" s="84">
        <v>2.992</v>
      </c>
      <c r="N124" s="93">
        <v>2.984</v>
      </c>
      <c r="O124" s="137">
        <v>1.0866000000000001E-3</v>
      </c>
      <c r="P124" s="83">
        <v>7.4279999999999997E-3</v>
      </c>
      <c r="Q124" s="84">
        <v>283.41000000000003</v>
      </c>
      <c r="R124" s="93">
        <v>423.68</v>
      </c>
      <c r="S124" s="92">
        <v>1.2727999999999999</v>
      </c>
      <c r="T124" s="93">
        <v>1.7083999999999999</v>
      </c>
      <c r="V124" s="79">
        <v>49</v>
      </c>
      <c r="W124" s="84">
        <v>2.3197000000000001</v>
      </c>
      <c r="X124" s="93">
        <v>2.0933000000000002</v>
      </c>
      <c r="Y124" s="92">
        <v>1.0257041458961577E-3</v>
      </c>
      <c r="Z124" s="83">
        <v>1.0139005769094283E-2</v>
      </c>
      <c r="AA124" s="84">
        <v>276.36</v>
      </c>
      <c r="AB124" s="93">
        <v>416.62</v>
      </c>
      <c r="AC124" s="92">
        <v>1.2512000000000001</v>
      </c>
      <c r="AD124" s="93">
        <v>1.6904999999999999</v>
      </c>
      <c r="AF124" s="94">
        <v>59</v>
      </c>
      <c r="AG124" s="84">
        <v>3.8791000000000002</v>
      </c>
      <c r="AH124" s="93">
        <v>3.4750999999999999</v>
      </c>
      <c r="AI124" s="84">
        <v>1.194E-3</v>
      </c>
      <c r="AJ124" s="93">
        <v>6.1000000000000004E-3</v>
      </c>
      <c r="AK124" s="84">
        <v>304</v>
      </c>
      <c r="AL124" s="93">
        <v>420.8</v>
      </c>
      <c r="AM124" s="84">
        <v>1.333</v>
      </c>
      <c r="AN124" s="93">
        <v>1.6890000000000001</v>
      </c>
    </row>
    <row r="125" spans="2:60" ht="16.5" thickBot="1" x14ac:dyDescent="0.45">
      <c r="B125" s="94">
        <v>50</v>
      </c>
      <c r="C125" s="84">
        <v>2.3058000000000001</v>
      </c>
      <c r="D125" s="93">
        <v>2.2909000000000002</v>
      </c>
      <c r="E125" s="92">
        <v>1.1123000000000001E-3</v>
      </c>
      <c r="F125" s="138">
        <v>7.2852000000000004E-3</v>
      </c>
      <c r="G125" s="84">
        <v>277.45999999999998</v>
      </c>
      <c r="H125" s="93">
        <v>381.44</v>
      </c>
      <c r="I125" s="92">
        <v>1.254</v>
      </c>
      <c r="J125" s="93">
        <v>1.5760000000000001</v>
      </c>
      <c r="L125" s="94">
        <v>50</v>
      </c>
      <c r="M125" s="84">
        <v>3.0609999999999999</v>
      </c>
      <c r="N125" s="93">
        <v>3.0640000000000001</v>
      </c>
      <c r="O125" s="137">
        <v>1.0954000000000001E-3</v>
      </c>
      <c r="P125" s="83">
        <v>7.195E-3</v>
      </c>
      <c r="Q125" s="84">
        <v>285.44</v>
      </c>
      <c r="R125" s="93">
        <v>423.22</v>
      </c>
      <c r="S125" s="92">
        <v>1.2788999999999999</v>
      </c>
      <c r="T125" s="93">
        <v>1.7054</v>
      </c>
      <c r="V125" s="94">
        <v>50</v>
      </c>
      <c r="W125" s="84">
        <v>2.3727999999999998</v>
      </c>
      <c r="X125" s="93">
        <v>2.1448</v>
      </c>
      <c r="Y125" s="92">
        <v>1.0320876035957932E-3</v>
      </c>
      <c r="Z125" s="83">
        <v>9.8444575703878715E-3</v>
      </c>
      <c r="AA125" s="84">
        <v>278.13</v>
      </c>
      <c r="AB125" s="93">
        <v>416.68</v>
      </c>
      <c r="AC125" s="92">
        <v>1.2565</v>
      </c>
      <c r="AD125" s="93">
        <v>1.6890000000000001</v>
      </c>
      <c r="AF125" s="123">
        <v>60</v>
      </c>
      <c r="AG125" s="128">
        <v>3.9569999999999999</v>
      </c>
      <c r="AH125" s="129">
        <v>3.5569000000000002</v>
      </c>
      <c r="AI125" s="128">
        <v>1.2080000000000001E-3</v>
      </c>
      <c r="AJ125" s="129">
        <v>5.8999999999999999E-3</v>
      </c>
      <c r="AK125" s="128">
        <v>306.3</v>
      </c>
      <c r="AL125" s="129">
        <v>420.1</v>
      </c>
      <c r="AM125" s="128">
        <v>1.34</v>
      </c>
      <c r="AN125" s="129">
        <v>1.6850000000000001</v>
      </c>
    </row>
    <row r="126" spans="2:60" x14ac:dyDescent="0.4">
      <c r="B126" s="94">
        <v>51</v>
      </c>
      <c r="C126" s="84">
        <v>2.3586999999999998</v>
      </c>
      <c r="D126" s="93">
        <v>2.3439000000000001</v>
      </c>
      <c r="E126" s="92">
        <v>1.1215000000000001E-3</v>
      </c>
      <c r="F126" s="138">
        <v>7.0565000000000003E-3</v>
      </c>
      <c r="G126" s="84">
        <v>279.3</v>
      </c>
      <c r="H126" s="93">
        <v>381.37</v>
      </c>
      <c r="I126" s="92">
        <v>1.2594000000000001</v>
      </c>
      <c r="J126" s="93">
        <v>1.575</v>
      </c>
      <c r="L126" s="94">
        <v>51</v>
      </c>
      <c r="M126" s="84">
        <v>3.1320000000000001</v>
      </c>
      <c r="N126" s="93">
        <v>3.1240000000000001</v>
      </c>
      <c r="O126" s="137">
        <v>1.1046000000000001E-3</v>
      </c>
      <c r="P126" s="83">
        <v>6.9680000000000002E-3</v>
      </c>
      <c r="Q126" s="84">
        <v>287.5</v>
      </c>
      <c r="R126" s="93">
        <v>422.73</v>
      </c>
      <c r="S126" s="92">
        <v>1.2849999999999999</v>
      </c>
      <c r="T126" s="93">
        <v>1.7022999999999999</v>
      </c>
      <c r="V126" s="79">
        <v>51</v>
      </c>
      <c r="W126" s="84">
        <v>2.4268000000000001</v>
      </c>
      <c r="X126" s="93">
        <v>2.1972</v>
      </c>
      <c r="Y126" s="92">
        <v>1.0386696718842506E-3</v>
      </c>
      <c r="Z126" s="83">
        <v>9.5584018352131515E-3</v>
      </c>
      <c r="AA126" s="84">
        <v>279.91000000000003</v>
      </c>
      <c r="AB126" s="93">
        <v>416.71</v>
      </c>
      <c r="AC126" s="92">
        <v>1.2618</v>
      </c>
      <c r="AD126" s="93">
        <v>1.6876</v>
      </c>
    </row>
    <row r="127" spans="2:60" x14ac:dyDescent="0.4">
      <c r="B127" s="94">
        <v>52</v>
      </c>
      <c r="C127" s="84">
        <v>2.4125999999999999</v>
      </c>
      <c r="D127" s="93">
        <v>2.3978000000000002</v>
      </c>
      <c r="E127" s="92">
        <v>1.1312E-3</v>
      </c>
      <c r="F127" s="138">
        <v>6.8325E-3</v>
      </c>
      <c r="G127" s="84">
        <v>281.14999999999998</v>
      </c>
      <c r="H127" s="93">
        <v>381.27</v>
      </c>
      <c r="I127" s="92">
        <v>1.2649999999999999</v>
      </c>
      <c r="J127" s="93">
        <v>1.573</v>
      </c>
      <c r="L127" s="94">
        <v>52</v>
      </c>
      <c r="M127" s="84">
        <v>3.2040000000000002</v>
      </c>
      <c r="N127" s="93">
        <v>3.1960000000000002</v>
      </c>
      <c r="O127" s="137">
        <v>1.1142000000000001E-3</v>
      </c>
      <c r="P127" s="83">
        <v>6.7450000000000001E-3</v>
      </c>
      <c r="Q127" s="84">
        <v>289.58</v>
      </c>
      <c r="R127" s="93">
        <v>422.19</v>
      </c>
      <c r="S127" s="92">
        <v>1.2911999999999999</v>
      </c>
      <c r="T127" s="93">
        <v>1.6991000000000001</v>
      </c>
      <c r="V127" s="94">
        <v>52</v>
      </c>
      <c r="W127" s="84">
        <v>2.4817</v>
      </c>
      <c r="X127" s="93">
        <v>2.2507000000000001</v>
      </c>
      <c r="Y127" s="92">
        <v>1.0454455166069021E-3</v>
      </c>
      <c r="Z127" s="83">
        <v>9.2790201354736937E-3</v>
      </c>
      <c r="AA127" s="84">
        <v>181.7</v>
      </c>
      <c r="AB127" s="93">
        <v>416.73</v>
      </c>
      <c r="AC127" s="92">
        <v>1.2670999999999999</v>
      </c>
      <c r="AD127" s="93">
        <v>1.6860999999999999</v>
      </c>
    </row>
    <row r="128" spans="2:60" x14ac:dyDescent="0.4">
      <c r="B128" s="94">
        <v>53</v>
      </c>
      <c r="C128" s="84">
        <v>2.4674</v>
      </c>
      <c r="D128" s="93">
        <v>2.4527000000000001</v>
      </c>
      <c r="E128" s="92">
        <v>1.1413E-3</v>
      </c>
      <c r="F128" s="138">
        <v>6.613E-3</v>
      </c>
      <c r="G128" s="84">
        <v>283.02999999999997</v>
      </c>
      <c r="H128" s="93">
        <v>381.14</v>
      </c>
      <c r="I128" s="92">
        <v>1.2705</v>
      </c>
      <c r="J128" s="93">
        <v>1.5720000000000001</v>
      </c>
      <c r="L128" s="94">
        <v>53</v>
      </c>
      <c r="M128" s="84">
        <v>3.2770000000000001</v>
      </c>
      <c r="N128" s="93">
        <v>3.2690000000000001</v>
      </c>
      <c r="O128" s="137">
        <v>1.1243E-3</v>
      </c>
      <c r="P128" s="83">
        <v>6.5269999999999998E-3</v>
      </c>
      <c r="Q128" s="84">
        <v>291.7</v>
      </c>
      <c r="R128" s="93">
        <v>421.61</v>
      </c>
      <c r="S128" s="92">
        <v>1.2974000000000001</v>
      </c>
      <c r="T128" s="93">
        <v>1.6958</v>
      </c>
      <c r="V128" s="79">
        <v>53</v>
      </c>
      <c r="W128" s="84">
        <v>2.5375000000000001</v>
      </c>
      <c r="X128" s="93">
        <v>2.3050999999999999</v>
      </c>
      <c r="Y128" s="92">
        <v>1.0524875543346699E-3</v>
      </c>
      <c r="Z128" s="83">
        <v>9.0065747996037112E-3</v>
      </c>
      <c r="AA128" s="84">
        <v>283.51</v>
      </c>
      <c r="AB128" s="93">
        <v>416.73</v>
      </c>
      <c r="AC128" s="92">
        <v>1.2725</v>
      </c>
      <c r="AD128" s="93">
        <v>1.6846000000000001</v>
      </c>
    </row>
    <row r="129" spans="2:30" x14ac:dyDescent="0.4">
      <c r="B129" s="94">
        <v>54</v>
      </c>
      <c r="C129" s="84">
        <v>2.5230999999999999</v>
      </c>
      <c r="D129" s="93">
        <v>2.5085000000000002</v>
      </c>
      <c r="E129" s="92">
        <v>1.1519E-3</v>
      </c>
      <c r="F129" s="138">
        <v>6.3975999999999998E-3</v>
      </c>
      <c r="G129" s="84">
        <v>284.93</v>
      </c>
      <c r="H129" s="93">
        <v>380.97</v>
      </c>
      <c r="I129" s="92">
        <v>1.2762</v>
      </c>
      <c r="J129" s="93">
        <v>1.57</v>
      </c>
      <c r="L129" s="94">
        <v>54</v>
      </c>
      <c r="M129" s="84">
        <v>3.3519999999999999</v>
      </c>
      <c r="N129" s="93">
        <v>3.3439999999999999</v>
      </c>
      <c r="O129" s="137">
        <v>1.1348E-3</v>
      </c>
      <c r="P129" s="83">
        <v>6.313E-3</v>
      </c>
      <c r="Q129" s="84">
        <v>293.85000000000002</v>
      </c>
      <c r="R129" s="93">
        <v>420.97</v>
      </c>
      <c r="S129" s="92">
        <v>1.3038000000000001</v>
      </c>
      <c r="T129" s="93">
        <v>1.6923999999999999</v>
      </c>
      <c r="V129" s="94">
        <v>54</v>
      </c>
      <c r="W129" s="84">
        <v>2.5941999999999998</v>
      </c>
      <c r="X129" s="93">
        <v>2.3605999999999998</v>
      </c>
      <c r="Y129" s="92">
        <v>1.0596924772431041E-3</v>
      </c>
      <c r="Z129" s="83">
        <v>8.7404947120006994E-3</v>
      </c>
      <c r="AA129" s="84">
        <v>285.33999999999997</v>
      </c>
      <c r="AB129" s="93">
        <v>416.7</v>
      </c>
      <c r="AC129" s="92">
        <v>1.2779</v>
      </c>
      <c r="AD129" s="93">
        <v>1.6830000000000001</v>
      </c>
    </row>
    <row r="130" spans="2:30" x14ac:dyDescent="0.4">
      <c r="B130" s="94">
        <v>55</v>
      </c>
      <c r="C130" s="84">
        <v>2.5798999999999999</v>
      </c>
      <c r="D130" s="93">
        <v>2.5653999999999999</v>
      </c>
      <c r="E130" s="92">
        <v>1.1631E-3</v>
      </c>
      <c r="F130" s="138">
        <v>6.1862000000000002E-3</v>
      </c>
      <c r="G130" s="84">
        <v>286.37</v>
      </c>
      <c r="H130" s="93">
        <v>380.76</v>
      </c>
      <c r="I130" s="92">
        <v>1.2819</v>
      </c>
      <c r="J130" s="93">
        <v>1.5680000000000001</v>
      </c>
      <c r="L130" s="94">
        <v>55</v>
      </c>
      <c r="M130" s="84">
        <v>3.427</v>
      </c>
      <c r="N130" s="93">
        <v>3.42</v>
      </c>
      <c r="O130" s="137">
        <v>1.459E-3</v>
      </c>
      <c r="P130" s="83">
        <v>6.1019999999999998E-3</v>
      </c>
      <c r="Q130" s="84">
        <v>296.04000000000002</v>
      </c>
      <c r="R130" s="93">
        <v>420.28</v>
      </c>
      <c r="S130" s="92">
        <v>1.3102</v>
      </c>
      <c r="T130" s="93">
        <v>1.6889000000000001</v>
      </c>
      <c r="V130" s="79">
        <v>55</v>
      </c>
      <c r="W130" s="84">
        <v>2.6518999999999999</v>
      </c>
      <c r="X130" s="93">
        <v>2.4171999999999998</v>
      </c>
      <c r="Y130" s="92">
        <v>1.0671903013745412E-3</v>
      </c>
      <c r="Z130" s="83">
        <v>8.481044864727335E-3</v>
      </c>
      <c r="AA130" s="84">
        <v>287.18</v>
      </c>
      <c r="AB130" s="93">
        <v>416.66</v>
      </c>
      <c r="AC130" s="92">
        <v>1.2834000000000001</v>
      </c>
      <c r="AD130" s="93">
        <v>1.6813</v>
      </c>
    </row>
    <row r="131" spans="2:30" x14ac:dyDescent="0.4">
      <c r="B131" s="94">
        <v>56</v>
      </c>
      <c r="C131" s="84">
        <v>2.6377000000000002</v>
      </c>
      <c r="D131" s="93">
        <v>2.6233</v>
      </c>
      <c r="E131" s="92">
        <v>1.1747999999999999E-3</v>
      </c>
      <c r="F131" s="138">
        <v>5.9784E-3</v>
      </c>
      <c r="G131" s="84">
        <v>288.83</v>
      </c>
      <c r="H131" s="93">
        <v>380.5</v>
      </c>
      <c r="I131" s="92">
        <v>1.2876000000000001</v>
      </c>
      <c r="J131" s="93">
        <v>1.5660000000000001</v>
      </c>
      <c r="L131" s="94">
        <v>56</v>
      </c>
      <c r="M131" s="84">
        <v>3.5049999999999999</v>
      </c>
      <c r="N131" s="93">
        <v>3.4969999999999999</v>
      </c>
      <c r="O131" s="137">
        <v>1.1577E-3</v>
      </c>
      <c r="P131" s="83">
        <v>5.8960000000000002E-3</v>
      </c>
      <c r="Q131" s="84">
        <v>298.26</v>
      </c>
      <c r="R131" s="93">
        <v>419.54</v>
      </c>
      <c r="S131" s="92">
        <v>1.3167</v>
      </c>
      <c r="T131" s="93">
        <v>1.6852</v>
      </c>
      <c r="V131" s="94">
        <v>56</v>
      </c>
      <c r="W131" s="84">
        <v>2.7103999999999999</v>
      </c>
      <c r="X131" s="93">
        <v>2.4748000000000001</v>
      </c>
      <c r="Y131" s="92">
        <v>1.0749567329914971E-3</v>
      </c>
      <c r="Z131" s="83">
        <v>8.228420966016621E-3</v>
      </c>
      <c r="AA131" s="84">
        <v>289.04000000000002</v>
      </c>
      <c r="AB131" s="93">
        <v>416.59</v>
      </c>
      <c r="AC131" s="92">
        <v>1.2887999999999999</v>
      </c>
      <c r="AD131" s="93">
        <v>1.6797</v>
      </c>
    </row>
    <row r="132" spans="2:30" x14ac:dyDescent="0.4">
      <c r="B132" s="94">
        <v>57</v>
      </c>
      <c r="C132" s="84">
        <v>2.6964999999999999</v>
      </c>
      <c r="D132" s="93">
        <v>2.6821999999999999</v>
      </c>
      <c r="E132" s="92">
        <v>1.1873000000000001E-3</v>
      </c>
      <c r="F132" s="138">
        <v>5.7739999999999996E-3</v>
      </c>
      <c r="G132" s="84">
        <v>290.82</v>
      </c>
      <c r="H132" s="93">
        <v>380.2</v>
      </c>
      <c r="I132" s="92">
        <v>1.2934000000000001</v>
      </c>
      <c r="J132" s="93">
        <v>1.5640000000000001</v>
      </c>
      <c r="L132" s="94">
        <v>57</v>
      </c>
      <c r="M132" s="84">
        <v>3.5830000000000002</v>
      </c>
      <c r="N132" s="93">
        <v>3.5760000000000001</v>
      </c>
      <c r="O132" s="137">
        <v>1.1701000000000001E-3</v>
      </c>
      <c r="P132" s="83">
        <v>5.6930000000000001E-3</v>
      </c>
      <c r="Q132" s="84">
        <v>300.52999999999997</v>
      </c>
      <c r="R132" s="93">
        <v>418.72</v>
      </c>
      <c r="S132" s="92">
        <v>1.3232999999999999</v>
      </c>
      <c r="T132" s="93">
        <v>1.6813</v>
      </c>
      <c r="V132" s="79">
        <v>57</v>
      </c>
      <c r="W132" s="84">
        <v>2.7698999999999998</v>
      </c>
      <c r="X132" s="93">
        <v>2.5335999999999999</v>
      </c>
      <c r="Y132" s="92">
        <v>1.083012942004657E-3</v>
      </c>
      <c r="Z132" s="83">
        <v>7.981482959533881E-3</v>
      </c>
      <c r="AA132" s="84">
        <v>290.92</v>
      </c>
      <c r="AB132" s="93">
        <v>416.49</v>
      </c>
      <c r="AC132" s="92">
        <v>1.2943</v>
      </c>
      <c r="AD132" s="93">
        <v>1.6778999999999999</v>
      </c>
    </row>
    <row r="133" spans="2:30" x14ac:dyDescent="0.4">
      <c r="B133" s="94">
        <v>58</v>
      </c>
      <c r="C133" s="84">
        <v>2.7564000000000002</v>
      </c>
      <c r="D133" s="93">
        <v>2.7422</v>
      </c>
      <c r="E133" s="92">
        <v>1.2003999999999999E-3</v>
      </c>
      <c r="F133" s="138">
        <v>5.5725000000000002E-3</v>
      </c>
      <c r="G133" s="84">
        <v>292.85000000000002</v>
      </c>
      <c r="H133" s="93">
        <v>379.84</v>
      </c>
      <c r="I133" s="92">
        <v>1.2992999999999999</v>
      </c>
      <c r="J133" s="93">
        <v>1.5620000000000001</v>
      </c>
      <c r="L133" s="94">
        <v>58</v>
      </c>
      <c r="M133" s="84">
        <v>3.6629999999999998</v>
      </c>
      <c r="N133" s="93">
        <v>3.6560000000000001</v>
      </c>
      <c r="O133" s="137">
        <v>1.1833E-3</v>
      </c>
      <c r="P133" s="83">
        <v>5.4929999999999996E-3</v>
      </c>
      <c r="Q133" s="84">
        <v>302.85000000000002</v>
      </c>
      <c r="R133" s="93">
        <v>417.84</v>
      </c>
      <c r="S133" s="92">
        <v>1.33</v>
      </c>
      <c r="T133" s="93">
        <v>1.6773</v>
      </c>
      <c r="V133" s="94">
        <v>58</v>
      </c>
      <c r="W133" s="84">
        <v>2.8304</v>
      </c>
      <c r="X133" s="93">
        <v>2.5933999999999999</v>
      </c>
      <c r="Y133" s="92">
        <v>1.0913813613891103E-3</v>
      </c>
      <c r="Z133" s="83">
        <v>7.7399380804953569E-3</v>
      </c>
      <c r="AA133" s="84">
        <v>292.82</v>
      </c>
      <c r="AB133" s="93">
        <v>416.73</v>
      </c>
      <c r="AC133" s="92">
        <v>1.2999000000000001</v>
      </c>
      <c r="AD133" s="93">
        <v>1.6760999999999999</v>
      </c>
    </row>
    <row r="134" spans="2:30" x14ac:dyDescent="0.4">
      <c r="B134" s="94">
        <v>59</v>
      </c>
      <c r="C134" s="84">
        <v>2.8172999999999999</v>
      </c>
      <c r="D134" s="93">
        <v>2.8033000000000001</v>
      </c>
      <c r="E134" s="92">
        <v>1.2145000000000001E-3</v>
      </c>
      <c r="F134" s="138">
        <v>5.3737000000000004E-3</v>
      </c>
      <c r="G134" s="84">
        <v>294.92</v>
      </c>
      <c r="H134" s="93">
        <v>379.84</v>
      </c>
      <c r="I134" s="92">
        <v>1.3052999999999999</v>
      </c>
      <c r="J134" s="93">
        <v>1.56</v>
      </c>
      <c r="L134" s="135">
        <v>59</v>
      </c>
      <c r="M134" s="120">
        <v>3.7450000000000001</v>
      </c>
      <c r="N134" s="121">
        <v>3.7370000000000001</v>
      </c>
      <c r="O134" s="139">
        <v>1.1973000000000001E-3</v>
      </c>
      <c r="P134" s="119">
        <v>5.2950000000000002E-3</v>
      </c>
      <c r="Q134" s="120">
        <v>305.22000000000003</v>
      </c>
      <c r="R134" s="121">
        <v>416.87</v>
      </c>
      <c r="S134" s="118">
        <v>1.3368</v>
      </c>
      <c r="T134" s="121">
        <v>1.6731</v>
      </c>
      <c r="V134" s="79">
        <v>59</v>
      </c>
      <c r="W134" s="84">
        <v>2.8917999999999999</v>
      </c>
      <c r="X134" s="93">
        <v>2.6543999999999999</v>
      </c>
      <c r="Y134" s="92">
        <v>1.1000858066929221E-3</v>
      </c>
      <c r="Z134" s="83">
        <v>7.5041272699984994E-3</v>
      </c>
      <c r="AA134" s="84">
        <v>294.73</v>
      </c>
      <c r="AB134" s="93">
        <v>416.22</v>
      </c>
      <c r="AC134" s="92">
        <v>1.3055000000000001</v>
      </c>
      <c r="AD134" s="93">
        <v>1.6742999999999999</v>
      </c>
    </row>
    <row r="135" spans="2:30" ht="16.5" thickBot="1" x14ac:dyDescent="0.45">
      <c r="B135" s="123">
        <v>60</v>
      </c>
      <c r="C135" s="128">
        <v>2.8793000000000002</v>
      </c>
      <c r="D135" s="129">
        <v>2.8654999999999999</v>
      </c>
      <c r="E135" s="126">
        <v>1.2294999999999999E-3</v>
      </c>
      <c r="F135" s="140">
        <v>5.1770999999999996E-3</v>
      </c>
      <c r="G135" s="128">
        <v>297.02999999999997</v>
      </c>
      <c r="H135" s="129">
        <v>378.94</v>
      </c>
      <c r="I135" s="126">
        <v>1.3115000000000001</v>
      </c>
      <c r="J135" s="129">
        <v>1.5580000000000001</v>
      </c>
      <c r="L135" s="135">
        <v>60</v>
      </c>
      <c r="M135" s="128">
        <v>3.8279999999999998</v>
      </c>
      <c r="N135" s="129">
        <v>3.82</v>
      </c>
      <c r="O135" s="141">
        <v>1.2124E-3</v>
      </c>
      <c r="P135" s="127">
        <v>5.1000000000000004E-3</v>
      </c>
      <c r="Q135" s="128">
        <v>307.64</v>
      </c>
      <c r="R135" s="129">
        <v>415.82</v>
      </c>
      <c r="S135" s="126">
        <v>1.3438000000000001</v>
      </c>
      <c r="T135" s="129">
        <v>1.6686000000000001</v>
      </c>
      <c r="V135" s="123">
        <v>60</v>
      </c>
      <c r="W135" s="128">
        <v>2.9542000000000002</v>
      </c>
      <c r="X135" s="129">
        <v>2.7164999999999999</v>
      </c>
      <c r="Y135" s="126">
        <v>1.1091639122429511E-3</v>
      </c>
      <c r="Z135" s="127">
        <v>7.2732562368172226E-3</v>
      </c>
      <c r="AA135" s="128">
        <v>296.68</v>
      </c>
      <c r="AB135" s="129">
        <v>416.04</v>
      </c>
      <c r="AC135" s="126">
        <v>1.3110999999999999</v>
      </c>
      <c r="AD135" s="129">
        <v>1.6724000000000001</v>
      </c>
    </row>
  </sheetData>
  <mergeCells count="48">
    <mergeCell ref="AU3:AV3"/>
    <mergeCell ref="AW3:AX3"/>
    <mergeCell ref="BA3:BB3"/>
    <mergeCell ref="BC3:BD3"/>
    <mergeCell ref="BE3:BF3"/>
    <mergeCell ref="BG3:BH3"/>
    <mergeCell ref="AG3:AH3"/>
    <mergeCell ref="AI3:AJ3"/>
    <mergeCell ref="AK3:AL3"/>
    <mergeCell ref="AM3:AN3"/>
    <mergeCell ref="AQ3:AR3"/>
    <mergeCell ref="AS3:AT3"/>
    <mergeCell ref="Q3:R3"/>
    <mergeCell ref="S3:T3"/>
    <mergeCell ref="W3:X3"/>
    <mergeCell ref="Y3:Z3"/>
    <mergeCell ref="AA3:AB3"/>
    <mergeCell ref="AC3:AD3"/>
    <mergeCell ref="C3:D3"/>
    <mergeCell ref="E3:F3"/>
    <mergeCell ref="G3:H3"/>
    <mergeCell ref="I3:J3"/>
    <mergeCell ref="M3:N3"/>
    <mergeCell ref="O3:P3"/>
    <mergeCell ref="AU2:AV2"/>
    <mergeCell ref="AW2:AX2"/>
    <mergeCell ref="BA2:BB2"/>
    <mergeCell ref="BC2:BD2"/>
    <mergeCell ref="BE2:BF2"/>
    <mergeCell ref="BG2:BH2"/>
    <mergeCell ref="AG2:AH2"/>
    <mergeCell ref="AI2:AJ2"/>
    <mergeCell ref="AK2:AL2"/>
    <mergeCell ref="AM2:AN2"/>
    <mergeCell ref="AQ2:AR2"/>
    <mergeCell ref="AS2:AT2"/>
    <mergeCell ref="Q2:R2"/>
    <mergeCell ref="S2:T2"/>
    <mergeCell ref="W2:X2"/>
    <mergeCell ref="Y2:Z2"/>
    <mergeCell ref="AA2:AB2"/>
    <mergeCell ref="AC2:AD2"/>
    <mergeCell ref="C2:D2"/>
    <mergeCell ref="E2:F2"/>
    <mergeCell ref="G2:H2"/>
    <mergeCell ref="I2:J2"/>
    <mergeCell ref="M2:N2"/>
    <mergeCell ref="O2:P2"/>
  </mergeCells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冷媒量試算</vt:lpstr>
      <vt:lpstr>原本</vt:lpstr>
      <vt:lpstr>C1220T</vt:lpstr>
      <vt:lpstr>参照飽和表</vt:lpstr>
      <vt:lpstr>飽和表集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0127</dc:creator>
  <cp:lastModifiedBy>0296</cp:lastModifiedBy>
  <cp:lastPrinted>2023-11-14T03:46:31Z</cp:lastPrinted>
  <dcterms:created xsi:type="dcterms:W3CDTF">2022-06-28T09:02:13Z</dcterms:created>
  <dcterms:modified xsi:type="dcterms:W3CDTF">2023-11-14T04:12:54Z</dcterms:modified>
</cp:coreProperties>
</file>