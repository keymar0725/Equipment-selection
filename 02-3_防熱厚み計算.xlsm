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Y:\【プラント設計部】\高橋\03 仮配属\"/>
    </mc:Choice>
  </mc:AlternateContent>
  <xr:revisionPtr revIDLastSave="0" documentId="13_ncr:1_{70B0A689-2C67-472A-A309-9B3443A2997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防熱計算" sheetId="3" r:id="rId1"/>
    <sheet name="操作方法" sheetId="5" r:id="rId2"/>
  </sheets>
  <definedNames>
    <definedName name="_xlnm.Print_Area" localSheetId="0">防熱計算!$A$1:$T$36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3" l="1"/>
  <c r="O3" i="3" s="1"/>
  <c r="L8" i="3"/>
  <c r="L10" i="3"/>
  <c r="F14" i="3" l="1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E14" i="3"/>
  <c r="D14" i="3"/>
  <c r="C14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S10" i="3"/>
  <c r="R10" i="3"/>
  <c r="Q10" i="3"/>
  <c r="P10" i="3"/>
  <c r="O10" i="3"/>
  <c r="N10" i="3"/>
  <c r="M10" i="3"/>
  <c r="K10" i="3"/>
  <c r="J10" i="3"/>
  <c r="I10" i="3"/>
  <c r="H10" i="3"/>
  <c r="G10" i="3"/>
  <c r="F10" i="3"/>
  <c r="E10" i="3"/>
  <c r="D10" i="3"/>
  <c r="C10" i="3"/>
  <c r="S8" i="3"/>
  <c r="R8" i="3"/>
  <c r="Q8" i="3"/>
  <c r="P8" i="3"/>
  <c r="O8" i="3"/>
  <c r="N8" i="3"/>
  <c r="M8" i="3"/>
  <c r="K8" i="3"/>
  <c r="J8" i="3"/>
  <c r="I8" i="3"/>
  <c r="H8" i="3"/>
  <c r="G8" i="3"/>
  <c r="F8" i="3"/>
  <c r="E8" i="3"/>
  <c r="D8" i="3"/>
  <c r="C8" i="3"/>
  <c r="V12" i="3" l="1"/>
  <c r="V14" i="3"/>
  <c r="V24" i="3"/>
  <c r="V34" i="3"/>
  <c r="V18" i="3"/>
  <c r="V32" i="3"/>
  <c r="V16" i="3"/>
  <c r="V26" i="3"/>
  <c r="V10" i="3"/>
  <c r="V30" i="3"/>
  <c r="V22" i="3"/>
  <c r="V8" i="3"/>
  <c r="V28" i="3"/>
  <c r="V20" i="3"/>
</calcChain>
</file>

<file path=xl/sharedStrings.xml><?xml version="1.0" encoding="utf-8"?>
<sst xmlns="http://schemas.openxmlformats.org/spreadsheetml/2006/main" count="40" uniqueCount="25">
  <si>
    <t>配管径</t>
    <rPh sb="0" eb="2">
      <t>ハイカン</t>
    </rPh>
    <rPh sb="2" eb="3">
      <t>ケイ</t>
    </rPh>
    <phoneticPr fontId="1"/>
  </si>
  <si>
    <t>露点温度</t>
    <rPh sb="0" eb="2">
      <t>ロテン</t>
    </rPh>
    <rPh sb="2" eb="4">
      <t>オンド</t>
    </rPh>
    <phoneticPr fontId="1"/>
  </si>
  <si>
    <t>℃</t>
    <phoneticPr fontId="1"/>
  </si>
  <si>
    <t>相対湿度</t>
    <rPh sb="0" eb="2">
      <t>ソウタイ</t>
    </rPh>
    <rPh sb="2" eb="4">
      <t>シツド</t>
    </rPh>
    <phoneticPr fontId="1"/>
  </si>
  <si>
    <t>熱伝導率</t>
    <rPh sb="0" eb="1">
      <t>ネツ</t>
    </rPh>
    <rPh sb="1" eb="4">
      <t>デンドウリツ</t>
    </rPh>
    <phoneticPr fontId="1"/>
  </si>
  <si>
    <t>目標値</t>
    <rPh sb="0" eb="3">
      <t>モクヒョウチ</t>
    </rPh>
    <phoneticPr fontId="1"/>
  </si>
  <si>
    <t>配管防熱計算</t>
    <rPh sb="0" eb="2">
      <t>ハイカン</t>
    </rPh>
    <rPh sb="2" eb="4">
      <t>ボウネツ</t>
    </rPh>
    <rPh sb="4" eb="6">
      <t>ケイサン</t>
    </rPh>
    <phoneticPr fontId="1"/>
  </si>
  <si>
    <t>アーマーフレックス</t>
  </si>
  <si>
    <t>℃</t>
  </si>
  <si>
    <t>RH%</t>
  </si>
  <si>
    <t>W/m・K</t>
  </si>
  <si>
    <t>W/㎡・K</t>
  </si>
  <si>
    <t>周囲温度</t>
    <rPh sb="0" eb="2">
      <t>シュウイ</t>
    </rPh>
    <rPh sb="2" eb="4">
      <t>オンド</t>
    </rPh>
    <phoneticPr fontId="1"/>
  </si>
  <si>
    <t>防熱種類</t>
    <rPh sb="0" eb="2">
      <t>ボウネツ</t>
    </rPh>
    <rPh sb="2" eb="4">
      <t>シュルイ</t>
    </rPh>
    <phoneticPr fontId="1"/>
  </si>
  <si>
    <t>管内温度</t>
    <rPh sb="0" eb="2">
      <t>カンナイ</t>
    </rPh>
    <rPh sb="2" eb="4">
      <t>オンド</t>
    </rPh>
    <phoneticPr fontId="1"/>
  </si>
  <si>
    <t>必要最低厚み</t>
    <rPh sb="0" eb="2">
      <t>ヒツヨウ</t>
    </rPh>
    <rPh sb="2" eb="4">
      <t>サイテイ</t>
    </rPh>
    <rPh sb="4" eb="5">
      <t>アツ</t>
    </rPh>
    <phoneticPr fontId="1"/>
  </si>
  <si>
    <t>＜条件＞</t>
    <rPh sb="1" eb="3">
      <t>ジョウケン</t>
    </rPh>
    <phoneticPr fontId="1"/>
  </si>
  <si>
    <t>条件温度</t>
    <rPh sb="0" eb="2">
      <t>ジョウケン</t>
    </rPh>
    <rPh sb="2" eb="4">
      <t>オンド</t>
    </rPh>
    <phoneticPr fontId="1"/>
  </si>
  <si>
    <t>一般的な防熱厚み(アーマーフレックス)</t>
    <rPh sb="0" eb="3">
      <t>イッパンテキ</t>
    </rPh>
    <rPh sb="4" eb="6">
      <t>ボウネツ</t>
    </rPh>
    <rPh sb="6" eb="7">
      <t>アツ</t>
    </rPh>
    <phoneticPr fontId="1"/>
  </si>
  <si>
    <t>→</t>
    <phoneticPr fontId="1"/>
  </si>
  <si>
    <t>ver1.0</t>
    <phoneticPr fontId="1"/>
  </si>
  <si>
    <t>※配管の表面温度が"条件温度"以下にならない防熱厚みを計算する</t>
    <rPh sb="1" eb="3">
      <t>ハイカン</t>
    </rPh>
    <rPh sb="4" eb="6">
      <t>ヒョウメン</t>
    </rPh>
    <rPh sb="6" eb="8">
      <t>オンド</t>
    </rPh>
    <rPh sb="10" eb="12">
      <t>ジョウケン</t>
    </rPh>
    <rPh sb="12" eb="14">
      <t>オンド</t>
    </rPh>
    <rPh sb="15" eb="17">
      <t>イカ</t>
    </rPh>
    <rPh sb="22" eb="24">
      <t>ボウネツ</t>
    </rPh>
    <rPh sb="24" eb="25">
      <t>アツ</t>
    </rPh>
    <rPh sb="27" eb="29">
      <t>ケイサン</t>
    </rPh>
    <phoneticPr fontId="1"/>
  </si>
  <si>
    <t>作成日：</t>
    <rPh sb="0" eb="3">
      <t>サクセイビ</t>
    </rPh>
    <phoneticPr fontId="1"/>
  </si>
  <si>
    <t>余裕度</t>
    <rPh sb="0" eb="2">
      <t>ヨユウ</t>
    </rPh>
    <rPh sb="2" eb="3">
      <t>ド</t>
    </rPh>
    <phoneticPr fontId="1"/>
  </si>
  <si>
    <t>表面熱伝達率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</si>
</sst>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\℃"/>
    <numFmt numFmtId="177" formatCode="0.0"/>
    <numFmt numFmtId="178" formatCode="[$-F800]dddd\,\ mmmm\ dd\,\ yyyy"/>
    <numFmt numFmtId="179" formatCode="0.000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2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5" fillId="2" borderId="0" xfId="0" applyFont="1" applyFill="1"/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21" xfId="0" applyFill="1" applyBorder="1"/>
    <xf numFmtId="177" fontId="0" fillId="2" borderId="21" xfId="0" applyNumberFormat="1" applyFill="1" applyBorder="1"/>
    <xf numFmtId="176" fontId="2" fillId="2" borderId="10" xfId="0" applyNumberFormat="1" applyFont="1" applyFill="1" applyBorder="1" applyAlignment="1">
      <alignment horizontal="right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left"/>
    </xf>
    <xf numFmtId="12" fontId="0" fillId="2" borderId="9" xfId="0" applyNumberFormat="1" applyFill="1" applyBorder="1" applyAlignment="1">
      <alignment horizontal="center"/>
    </xf>
    <xf numFmtId="12" fontId="0" fillId="2" borderId="7" xfId="0" applyNumberFormat="1" applyFill="1" applyBorder="1" applyAlignment="1">
      <alignment horizontal="center"/>
    </xf>
    <xf numFmtId="12" fontId="0" fillId="2" borderId="7" xfId="0" applyNumberFormat="1" applyFill="1" applyBorder="1" applyAlignment="1">
      <alignment horizontal="right"/>
    </xf>
    <xf numFmtId="12" fontId="0" fillId="2" borderId="8" xfId="0" applyNumberFormat="1" applyFill="1" applyBorder="1" applyAlignment="1">
      <alignment horizontal="right" vertical="center"/>
    </xf>
    <xf numFmtId="176" fontId="2" fillId="2" borderId="14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176" fontId="4" fillId="2" borderId="1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176" fontId="4" fillId="2" borderId="12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76" fontId="4" fillId="2" borderId="13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179" fontId="0" fillId="2" borderId="21" xfId="0" applyNumberFormat="1" applyFill="1" applyBorder="1"/>
    <xf numFmtId="178" fontId="0" fillId="2" borderId="0" xfId="0" applyNumberFormat="1" applyFill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3623</xdr:colOff>
      <xdr:row>5</xdr:row>
      <xdr:rowOff>4068</xdr:rowOff>
    </xdr:from>
    <xdr:to>
      <xdr:col>2</xdr:col>
      <xdr:colOff>6884</xdr:colOff>
      <xdr:row>7</xdr:row>
      <xdr:rowOff>11111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 flipV="1">
          <a:off x="218971" y="2414307"/>
          <a:ext cx="1080000" cy="50400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175260</xdr:rowOff>
        </xdr:from>
        <xdr:to>
          <xdr:col>1</xdr:col>
          <xdr:colOff>914400</xdr:colOff>
          <xdr:row>3</xdr:row>
          <xdr:rowOff>83820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54428</xdr:rowOff>
    </xdr:from>
    <xdr:to>
      <xdr:col>22</xdr:col>
      <xdr:colOff>368877</xdr:colOff>
      <xdr:row>46</xdr:row>
      <xdr:rowOff>65313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7150" y="54428"/>
          <a:ext cx="15159841" cy="10526485"/>
          <a:chOff x="0" y="1426028"/>
          <a:chExt cx="14980227" cy="10526485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41601" t="9122" r="22246" b="22944"/>
          <a:stretch/>
        </xdr:blipFill>
        <xdr:spPr>
          <a:xfrm>
            <a:off x="0" y="1426028"/>
            <a:ext cx="14980227" cy="10526485"/>
          </a:xfrm>
          <a:prstGeom prst="rect">
            <a:avLst/>
          </a:prstGeom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2883423" y="5053994"/>
            <a:ext cx="9271413" cy="2219819"/>
          </a:xfrm>
          <a:prstGeom prst="rect">
            <a:avLst/>
          </a:prstGeom>
          <a:solidFill>
            <a:schemeClr val="bg1">
              <a:lumMod val="65000"/>
            </a:schemeClr>
          </a:solidFill>
          <a:ln w="19050" cmpd="sng">
            <a:solidFill>
              <a:schemeClr val="bg1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 b="1">
                <a:solidFill>
                  <a:schemeClr val="bg1"/>
                </a:solidFill>
              </a:rPr>
              <a:t>配管防熱計算　操作方法</a:t>
            </a:r>
            <a:endParaRPr kumimoji="1" lang="en-US" altLang="ja-JP" sz="2000" b="1">
              <a:solidFill>
                <a:schemeClr val="bg1"/>
              </a:solidFill>
            </a:endParaRPr>
          </a:p>
          <a:p>
            <a:r>
              <a:rPr kumimoji="1" lang="ja-JP" altLang="en-US" sz="2000" b="1">
                <a:solidFill>
                  <a:schemeClr val="bg1"/>
                </a:solidFill>
              </a:rPr>
              <a:t>　①マクロ設定を有効にする。</a:t>
            </a:r>
            <a:endParaRPr kumimoji="1" lang="en-US" altLang="ja-JP" sz="2000" b="1">
              <a:solidFill>
                <a:schemeClr val="bg1"/>
              </a:solidFill>
            </a:endParaRPr>
          </a:p>
          <a:p>
            <a:r>
              <a:rPr kumimoji="1" lang="ja-JP" altLang="en-US" sz="2000" b="1">
                <a:solidFill>
                  <a:schemeClr val="bg1"/>
                </a:solidFill>
              </a:rPr>
              <a:t>　②＜条件＞に諸条件を入力する。</a:t>
            </a:r>
            <a:endParaRPr kumimoji="1" lang="en-US" altLang="ja-JP" sz="2000" b="1">
              <a:solidFill>
                <a:schemeClr val="bg1"/>
              </a:solidFill>
            </a:endParaRPr>
          </a:p>
          <a:p>
            <a:r>
              <a:rPr kumimoji="1" lang="ja-JP" altLang="en-US" sz="2000" b="1">
                <a:solidFill>
                  <a:schemeClr val="bg1"/>
                </a:solidFill>
              </a:rPr>
              <a:t>　　入力可能項目：熱伝導率・表面熱伝達率・周囲温度・相対湿度・余裕度</a:t>
            </a:r>
            <a:endParaRPr kumimoji="1" lang="en-US" altLang="ja-JP" sz="2000" b="1">
              <a:solidFill>
                <a:schemeClr val="bg1"/>
              </a:solidFill>
            </a:endParaRPr>
          </a:p>
          <a:p>
            <a:r>
              <a:rPr kumimoji="1" lang="ja-JP" altLang="en-US" sz="2000" b="1">
                <a:solidFill>
                  <a:schemeClr val="bg1"/>
                </a:solidFill>
              </a:rPr>
              <a:t>　③</a:t>
            </a:r>
            <a:r>
              <a:rPr kumimoji="1" lang="en-US" altLang="ja-JP" sz="2000" b="1">
                <a:solidFill>
                  <a:schemeClr val="bg1"/>
                </a:solidFill>
              </a:rPr>
              <a:t>"</a:t>
            </a:r>
            <a:r>
              <a:rPr kumimoji="1" lang="ja-JP" altLang="en-US" sz="2000" b="1">
                <a:solidFill>
                  <a:schemeClr val="bg1"/>
                </a:solidFill>
              </a:rPr>
              <a:t>計算</a:t>
            </a:r>
            <a:r>
              <a:rPr kumimoji="1" lang="en-US" altLang="ja-JP" sz="2000" b="1">
                <a:solidFill>
                  <a:schemeClr val="bg1"/>
                </a:solidFill>
              </a:rPr>
              <a:t>"</a:t>
            </a:r>
            <a:r>
              <a:rPr kumimoji="1" lang="ja-JP" altLang="en-US" sz="2000" b="1">
                <a:solidFill>
                  <a:schemeClr val="bg1"/>
                </a:solidFill>
              </a:rPr>
              <a:t>ボタンをクリックする。</a:t>
            </a: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5984424" y="1439635"/>
            <a:ext cx="598714" cy="470806"/>
          </a:xfrm>
          <a:prstGeom prst="rect">
            <a:avLst/>
          </a:prstGeom>
          <a:solidFill>
            <a:schemeClr val="lt1"/>
          </a:solidFill>
          <a:ln w="254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2000" b="1">
                <a:solidFill>
                  <a:sysClr val="windowText" lastClr="000000"/>
                </a:solidFill>
              </a:rPr>
              <a:t>①</a:t>
            </a:r>
          </a:p>
        </xdr:txBody>
      </xdr: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 flipH="1">
            <a:off x="5154390" y="1654628"/>
            <a:ext cx="843641" cy="283028"/>
          </a:xfrm>
          <a:prstGeom prst="straightConnector1">
            <a:avLst/>
          </a:prstGeom>
          <a:ln w="25400">
            <a:headEnd w="lg" len="med"/>
            <a:tailEnd type="triangle" w="lg" len="lg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7660821" y="2465614"/>
            <a:ext cx="585107" cy="470807"/>
          </a:xfrm>
          <a:prstGeom prst="rect">
            <a:avLst/>
          </a:prstGeom>
          <a:solidFill>
            <a:schemeClr val="lt1"/>
          </a:solidFill>
          <a:ln w="254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2000" b="1">
                <a:solidFill>
                  <a:sysClr val="windowText" lastClr="000000"/>
                </a:solidFill>
              </a:rPr>
              <a:t>②</a:t>
            </a:r>
          </a:p>
        </xdr:txBody>
      </xdr: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H="1">
            <a:off x="6953250" y="2680608"/>
            <a:ext cx="778329" cy="547006"/>
          </a:xfrm>
          <a:prstGeom prst="straightConnector1">
            <a:avLst/>
          </a:prstGeom>
          <a:ln w="25400">
            <a:headEnd w="lg" len="med"/>
            <a:tailEnd type="triangle" w="lg" len="lg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2098222" y="2286544"/>
            <a:ext cx="585106" cy="462098"/>
          </a:xfrm>
          <a:prstGeom prst="rect">
            <a:avLst/>
          </a:prstGeom>
          <a:solidFill>
            <a:schemeClr val="lt1"/>
          </a:solidFill>
          <a:ln w="254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2000" b="1">
                <a:solidFill>
                  <a:sysClr val="windowText" lastClr="000000"/>
                </a:solidFill>
              </a:rPr>
              <a:t>③</a:t>
            </a:r>
          </a:p>
        </xdr:txBody>
      </xdr: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 flipH="1">
            <a:off x="1453244" y="2569029"/>
            <a:ext cx="639535" cy="781049"/>
          </a:xfrm>
          <a:prstGeom prst="straightConnector1">
            <a:avLst/>
          </a:prstGeom>
          <a:ln w="25400">
            <a:headEnd w="lg" len="med"/>
            <a:tailEnd type="triangle" w="lg" len="lg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テキスト ボックス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51756" y="3355521"/>
            <a:ext cx="1151166" cy="571499"/>
          </a:xfrm>
          <a:prstGeom prst="rect">
            <a:avLst/>
          </a:prstGeom>
          <a:noFill/>
          <a:ln w="25400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kumimoji="1" lang="ja-JP" altLang="en-US" sz="2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448048" y="1717223"/>
            <a:ext cx="1665516" cy="517070"/>
          </a:xfrm>
          <a:prstGeom prst="rect">
            <a:avLst/>
          </a:prstGeom>
          <a:noFill/>
          <a:ln w="25400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kumimoji="1" lang="ja-JP" altLang="en-US" sz="2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" name="フリーフォーム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700893" y="3200400"/>
            <a:ext cx="10817678" cy="889907"/>
          </a:xfrm>
          <a:custGeom>
            <a:avLst/>
            <a:gdLst>
              <a:gd name="connsiteX0" fmla="*/ 0 w 11035393"/>
              <a:gd name="connsiteY0" fmla="*/ 13607 h 938893"/>
              <a:gd name="connsiteX1" fmla="*/ 0 w 11035393"/>
              <a:gd name="connsiteY1" fmla="*/ 938893 h 938893"/>
              <a:gd name="connsiteX2" fmla="*/ 3551464 w 11035393"/>
              <a:gd name="connsiteY2" fmla="*/ 938893 h 938893"/>
              <a:gd name="connsiteX3" fmla="*/ 3551464 w 11035393"/>
              <a:gd name="connsiteY3" fmla="*/ 571500 h 938893"/>
              <a:gd name="connsiteX4" fmla="*/ 7538357 w 11035393"/>
              <a:gd name="connsiteY4" fmla="*/ 571500 h 938893"/>
              <a:gd name="connsiteX5" fmla="*/ 7538357 w 11035393"/>
              <a:gd name="connsiteY5" fmla="*/ 312964 h 938893"/>
              <a:gd name="connsiteX6" fmla="*/ 11035393 w 11035393"/>
              <a:gd name="connsiteY6" fmla="*/ 312964 h 938893"/>
              <a:gd name="connsiteX7" fmla="*/ 11035393 w 11035393"/>
              <a:gd name="connsiteY7" fmla="*/ 0 h 938893"/>
              <a:gd name="connsiteX8" fmla="*/ 0 w 11035393"/>
              <a:gd name="connsiteY8" fmla="*/ 13607 h 9388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035393" h="938893">
                <a:moveTo>
                  <a:pt x="0" y="13607"/>
                </a:moveTo>
                <a:lnTo>
                  <a:pt x="0" y="938893"/>
                </a:lnTo>
                <a:lnTo>
                  <a:pt x="3551464" y="938893"/>
                </a:lnTo>
                <a:lnTo>
                  <a:pt x="3551464" y="571500"/>
                </a:lnTo>
                <a:lnTo>
                  <a:pt x="7538357" y="571500"/>
                </a:lnTo>
                <a:lnTo>
                  <a:pt x="7538357" y="312964"/>
                </a:lnTo>
                <a:lnTo>
                  <a:pt x="11035393" y="312964"/>
                </a:lnTo>
                <a:lnTo>
                  <a:pt x="11035393" y="0"/>
                </a:lnTo>
                <a:lnTo>
                  <a:pt x="0" y="13607"/>
                </a:lnTo>
                <a:close/>
              </a:path>
            </a:pathLst>
          </a:cu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X38"/>
  <sheetViews>
    <sheetView tabSelected="1" view="pageBreakPreview" zoomScale="85" zoomScaleNormal="85" zoomScaleSheetLayoutView="85" workbookViewId="0">
      <selection activeCell="D10" sqref="D10"/>
    </sheetView>
  </sheetViews>
  <sheetFormatPr defaultColWidth="9" defaultRowHeight="18" x14ac:dyDescent="0.45"/>
  <cols>
    <col min="1" max="1" width="2.3984375" style="4" customWidth="1"/>
    <col min="2" max="2" width="14.09765625" style="4" bestFit="1" customWidth="1"/>
    <col min="3" max="4" width="9" style="4"/>
    <col min="5" max="5" width="9" style="4" customWidth="1"/>
    <col min="6" max="6" width="9" style="3" customWidth="1"/>
    <col min="7" max="19" width="9" style="4"/>
    <col min="20" max="20" width="2.5" style="4" customWidth="1"/>
    <col min="21" max="16384" width="9" style="4"/>
  </cols>
  <sheetData>
    <row r="1" spans="1:24" ht="22.2" x14ac:dyDescent="0.55000000000000004">
      <c r="A1" s="1" t="s">
        <v>6</v>
      </c>
      <c r="B1" s="2"/>
      <c r="C1" s="3" t="s">
        <v>16</v>
      </c>
      <c r="F1" s="4"/>
      <c r="G1" s="3"/>
      <c r="Q1" s="5" t="s">
        <v>22</v>
      </c>
      <c r="R1" s="34">
        <v>43626</v>
      </c>
      <c r="S1" s="34"/>
      <c r="V1" s="5" t="s">
        <v>20</v>
      </c>
      <c r="W1" s="4">
        <v>190607</v>
      </c>
    </row>
    <row r="2" spans="1:24" x14ac:dyDescent="0.45">
      <c r="C2" s="6" t="s">
        <v>13</v>
      </c>
      <c r="D2" s="6"/>
      <c r="E2" s="7" t="s">
        <v>7</v>
      </c>
      <c r="F2" s="6"/>
      <c r="H2" s="6" t="s">
        <v>12</v>
      </c>
      <c r="I2" s="6"/>
      <c r="J2" s="7">
        <v>30</v>
      </c>
      <c r="K2" s="6" t="s">
        <v>8</v>
      </c>
      <c r="M2" s="6" t="s">
        <v>23</v>
      </c>
      <c r="N2" s="6"/>
      <c r="O2" s="7">
        <v>0.3</v>
      </c>
      <c r="P2" s="6" t="s">
        <v>2</v>
      </c>
    </row>
    <row r="3" spans="1:24" x14ac:dyDescent="0.45">
      <c r="C3" s="6" t="s">
        <v>4</v>
      </c>
      <c r="D3" s="6"/>
      <c r="E3" s="33">
        <v>3.4000000000000002E-2</v>
      </c>
      <c r="F3" s="6" t="s">
        <v>10</v>
      </c>
      <c r="H3" s="6" t="s">
        <v>3</v>
      </c>
      <c r="I3" s="6"/>
      <c r="J3" s="7">
        <v>80</v>
      </c>
      <c r="K3" s="6" t="s">
        <v>9</v>
      </c>
      <c r="M3" s="6" t="s">
        <v>17</v>
      </c>
      <c r="N3" s="6"/>
      <c r="O3" s="7">
        <f>J4+O2</f>
        <v>26.47422699466237</v>
      </c>
      <c r="P3" s="6" t="s">
        <v>2</v>
      </c>
    </row>
    <row r="4" spans="1:24" x14ac:dyDescent="0.45">
      <c r="C4" s="6" t="s">
        <v>24</v>
      </c>
      <c r="D4" s="6"/>
      <c r="E4" s="7">
        <v>9</v>
      </c>
      <c r="F4" s="6" t="s">
        <v>11</v>
      </c>
      <c r="H4" s="6" t="s">
        <v>1</v>
      </c>
      <c r="I4" s="6"/>
      <c r="J4" s="7">
        <f>(240.9*LN($J$3*0.01*EXP((17.502*$J$2)/(240.9+$J$2))))/(17.5-LN($J$3*0.01*EXP((17.502*$J$2)/(240.9+$J$2))))</f>
        <v>26.174226994662369</v>
      </c>
      <c r="K4" s="6" t="s">
        <v>8</v>
      </c>
      <c r="M4" s="6" t="s">
        <v>21</v>
      </c>
      <c r="N4" s="6"/>
      <c r="O4" s="6"/>
      <c r="P4" s="6"/>
      <c r="Q4" s="6"/>
      <c r="R4" s="6"/>
      <c r="X4" s="5" t="s">
        <v>18</v>
      </c>
    </row>
    <row r="5" spans="1:24" ht="18.600000000000001" thickBot="1" x14ac:dyDescent="0.5">
      <c r="F5" s="4"/>
      <c r="W5" s="5" t="s">
        <v>19</v>
      </c>
      <c r="X5" s="4">
        <v>6</v>
      </c>
    </row>
    <row r="6" spans="1:24" ht="19.8" x14ac:dyDescent="0.5">
      <c r="B6" s="8" t="s">
        <v>0</v>
      </c>
      <c r="C6" s="9">
        <v>6.35</v>
      </c>
      <c r="D6" s="10">
        <v>9.52</v>
      </c>
      <c r="E6" s="10">
        <v>12.7</v>
      </c>
      <c r="F6" s="10">
        <v>15.88</v>
      </c>
      <c r="G6" s="10">
        <v>19.5</v>
      </c>
      <c r="H6" s="10">
        <v>22.22</v>
      </c>
      <c r="I6" s="10">
        <v>25.4</v>
      </c>
      <c r="J6" s="10">
        <v>28.58</v>
      </c>
      <c r="K6" s="10">
        <v>31.75</v>
      </c>
      <c r="L6" s="10">
        <v>34.92</v>
      </c>
      <c r="M6" s="10">
        <v>38.1</v>
      </c>
      <c r="N6" s="10">
        <v>41.28</v>
      </c>
      <c r="O6" s="10">
        <v>44.45</v>
      </c>
      <c r="P6" s="10">
        <v>50.8</v>
      </c>
      <c r="Q6" s="10">
        <v>54</v>
      </c>
      <c r="R6" s="10">
        <v>63.5</v>
      </c>
      <c r="S6" s="11">
        <v>76.2</v>
      </c>
      <c r="V6" s="4" t="s">
        <v>5</v>
      </c>
      <c r="X6" s="4">
        <v>10</v>
      </c>
    </row>
    <row r="7" spans="1:24" ht="18.600000000000001" thickBot="1" x14ac:dyDescent="0.5">
      <c r="B7" s="12" t="s">
        <v>14</v>
      </c>
      <c r="C7" s="13">
        <v>0.25</v>
      </c>
      <c r="D7" s="14">
        <v>0.375</v>
      </c>
      <c r="E7" s="14">
        <v>0.5</v>
      </c>
      <c r="F7" s="14">
        <v>0.625</v>
      </c>
      <c r="G7" s="14">
        <v>0.75</v>
      </c>
      <c r="H7" s="14">
        <v>0.875</v>
      </c>
      <c r="I7" s="15">
        <v>1</v>
      </c>
      <c r="J7" s="14">
        <v>1.125</v>
      </c>
      <c r="K7" s="14">
        <v>1.25</v>
      </c>
      <c r="L7" s="14">
        <v>1.375</v>
      </c>
      <c r="M7" s="14">
        <v>1.5</v>
      </c>
      <c r="N7" s="14">
        <v>1.625</v>
      </c>
      <c r="O7" s="14">
        <v>1.75</v>
      </c>
      <c r="P7" s="15">
        <v>2</v>
      </c>
      <c r="Q7" s="14">
        <v>2.125</v>
      </c>
      <c r="R7" s="14">
        <v>2.5</v>
      </c>
      <c r="S7" s="16">
        <v>3</v>
      </c>
      <c r="X7" s="4">
        <v>13</v>
      </c>
    </row>
    <row r="8" spans="1:24" ht="19.8" x14ac:dyDescent="0.5">
      <c r="B8" s="17">
        <v>15</v>
      </c>
      <c r="C8" s="18">
        <f t="shared" ref="C8:S8" ca="1" si="0">IFERROR(OFFSET($X$5,MATCH(C9-0.1,$X$5:$X$14,1),0),6)</f>
        <v>10</v>
      </c>
      <c r="D8" s="19">
        <f t="shared" ca="1" si="0"/>
        <v>10</v>
      </c>
      <c r="E8" s="19">
        <f t="shared" ca="1" si="0"/>
        <v>10</v>
      </c>
      <c r="F8" s="19">
        <f t="shared" ca="1" si="0"/>
        <v>10</v>
      </c>
      <c r="G8" s="19">
        <f t="shared" ca="1" si="0"/>
        <v>10</v>
      </c>
      <c r="H8" s="19">
        <f t="shared" ca="1" si="0"/>
        <v>10</v>
      </c>
      <c r="I8" s="19">
        <f t="shared" ca="1" si="0"/>
        <v>10</v>
      </c>
      <c r="J8" s="19">
        <f t="shared" ca="1" si="0"/>
        <v>10</v>
      </c>
      <c r="K8" s="19">
        <f t="shared" ca="1" si="0"/>
        <v>10</v>
      </c>
      <c r="L8" s="19">
        <f t="shared" ca="1" si="0"/>
        <v>10</v>
      </c>
      <c r="M8" s="19">
        <f t="shared" ca="1" si="0"/>
        <v>13</v>
      </c>
      <c r="N8" s="19">
        <f t="shared" ca="1" si="0"/>
        <v>13</v>
      </c>
      <c r="O8" s="19">
        <f t="shared" ca="1" si="0"/>
        <v>13</v>
      </c>
      <c r="P8" s="19">
        <f t="shared" ca="1" si="0"/>
        <v>13</v>
      </c>
      <c r="Q8" s="19">
        <f t="shared" ca="1" si="0"/>
        <v>13</v>
      </c>
      <c r="R8" s="19">
        <f t="shared" ca="1" si="0"/>
        <v>13</v>
      </c>
      <c r="S8" s="20">
        <f t="shared" ca="1" si="0"/>
        <v>13</v>
      </c>
      <c r="V8" s="4">
        <f>(2*$E$3*($B8-$O$3))/($E$4*($O$3-$J$2))</f>
        <v>2.4588695694243913E-2</v>
      </c>
      <c r="X8" s="4">
        <v>20</v>
      </c>
    </row>
    <row r="9" spans="1:24" x14ac:dyDescent="0.45">
      <c r="B9" s="21" t="s">
        <v>15</v>
      </c>
      <c r="C9" s="22">
        <v>8</v>
      </c>
      <c r="D9" s="23">
        <v>8</v>
      </c>
      <c r="E9" s="23">
        <v>9</v>
      </c>
      <c r="F9" s="23">
        <v>9</v>
      </c>
      <c r="G9" s="23">
        <v>10</v>
      </c>
      <c r="H9" s="23">
        <v>10</v>
      </c>
      <c r="I9" s="23">
        <v>10</v>
      </c>
      <c r="J9" s="23">
        <v>10</v>
      </c>
      <c r="K9" s="23">
        <v>10</v>
      </c>
      <c r="L9" s="23">
        <v>10</v>
      </c>
      <c r="M9" s="23">
        <v>11</v>
      </c>
      <c r="N9" s="23">
        <v>11</v>
      </c>
      <c r="O9" s="23">
        <v>11</v>
      </c>
      <c r="P9" s="23">
        <v>11</v>
      </c>
      <c r="Q9" s="23">
        <v>11</v>
      </c>
      <c r="R9" s="23">
        <v>11</v>
      </c>
      <c r="S9" s="24">
        <v>11</v>
      </c>
      <c r="X9" s="4">
        <v>25</v>
      </c>
    </row>
    <row r="10" spans="1:24" ht="19.8" x14ac:dyDescent="0.5">
      <c r="B10" s="17">
        <v>10</v>
      </c>
      <c r="C10" s="18">
        <f t="shared" ref="C10:S10" ca="1" si="1">IFERROR(OFFSET($X$5,MATCH(C11-0.1,$X$5:$X$14,1),0),6)</f>
        <v>10</v>
      </c>
      <c r="D10" s="19">
        <f t="shared" ca="1" si="1"/>
        <v>13</v>
      </c>
      <c r="E10" s="19">
        <f t="shared" ca="1" si="1"/>
        <v>13</v>
      </c>
      <c r="F10" s="19">
        <f t="shared" ca="1" si="1"/>
        <v>13</v>
      </c>
      <c r="G10" s="19">
        <f t="shared" ca="1" si="1"/>
        <v>13</v>
      </c>
      <c r="H10" s="19">
        <f t="shared" ca="1" si="1"/>
        <v>13</v>
      </c>
      <c r="I10" s="19">
        <f t="shared" ca="1" si="1"/>
        <v>13</v>
      </c>
      <c r="J10" s="19">
        <f t="shared" ca="1" si="1"/>
        <v>20</v>
      </c>
      <c r="K10" s="19">
        <f t="shared" ca="1" si="1"/>
        <v>20</v>
      </c>
      <c r="L10" s="19">
        <f t="shared" ca="1" si="1"/>
        <v>20</v>
      </c>
      <c r="M10" s="19">
        <f t="shared" ca="1" si="1"/>
        <v>20</v>
      </c>
      <c r="N10" s="19">
        <f t="shared" ca="1" si="1"/>
        <v>20</v>
      </c>
      <c r="O10" s="19">
        <f t="shared" ca="1" si="1"/>
        <v>20</v>
      </c>
      <c r="P10" s="19">
        <f t="shared" ca="1" si="1"/>
        <v>20</v>
      </c>
      <c r="Q10" s="19">
        <f t="shared" ca="1" si="1"/>
        <v>20</v>
      </c>
      <c r="R10" s="19">
        <f t="shared" ca="1" si="1"/>
        <v>20</v>
      </c>
      <c r="S10" s="20">
        <f t="shared" ca="1" si="1"/>
        <v>20</v>
      </c>
      <c r="V10" s="4">
        <f>(2*$E$3*($B10-$O$3))/($E$4*($O$3-$J$2))</f>
        <v>3.5303446110843739E-2</v>
      </c>
      <c r="X10" s="4">
        <v>32</v>
      </c>
    </row>
    <row r="11" spans="1:24" x14ac:dyDescent="0.45">
      <c r="B11" s="25" t="s">
        <v>15</v>
      </c>
      <c r="C11" s="26">
        <v>10</v>
      </c>
      <c r="D11" s="27">
        <v>11</v>
      </c>
      <c r="E11" s="27">
        <v>12</v>
      </c>
      <c r="F11" s="27">
        <v>12</v>
      </c>
      <c r="G11" s="27">
        <v>13</v>
      </c>
      <c r="H11" s="27">
        <v>13</v>
      </c>
      <c r="I11" s="27">
        <v>13</v>
      </c>
      <c r="J11" s="27">
        <v>14</v>
      </c>
      <c r="K11" s="27">
        <v>14</v>
      </c>
      <c r="L11" s="27">
        <v>14</v>
      </c>
      <c r="M11" s="27">
        <v>14</v>
      </c>
      <c r="N11" s="27">
        <v>14</v>
      </c>
      <c r="O11" s="27">
        <v>15</v>
      </c>
      <c r="P11" s="27">
        <v>15</v>
      </c>
      <c r="Q11" s="27">
        <v>15</v>
      </c>
      <c r="R11" s="27">
        <v>15</v>
      </c>
      <c r="S11" s="28">
        <v>16</v>
      </c>
      <c r="X11" s="4">
        <v>38</v>
      </c>
    </row>
    <row r="12" spans="1:24" ht="19.8" x14ac:dyDescent="0.5">
      <c r="B12" s="17">
        <v>5</v>
      </c>
      <c r="C12" s="18">
        <f t="shared" ref="C12:S12" ca="1" si="2">IFERROR(OFFSET($X$5,MATCH(C13-0.1,$X$5:$X$14,1),0),6)</f>
        <v>13</v>
      </c>
      <c r="D12" s="19">
        <f t="shared" ca="1" si="2"/>
        <v>13</v>
      </c>
      <c r="E12" s="19">
        <f t="shared" ca="1" si="2"/>
        <v>20</v>
      </c>
      <c r="F12" s="19">
        <f t="shared" ca="1" si="2"/>
        <v>20</v>
      </c>
      <c r="G12" s="19">
        <f t="shared" ca="1" si="2"/>
        <v>20</v>
      </c>
      <c r="H12" s="19">
        <f t="shared" ca="1" si="2"/>
        <v>20</v>
      </c>
      <c r="I12" s="19">
        <f t="shared" ca="1" si="2"/>
        <v>20</v>
      </c>
      <c r="J12" s="19">
        <f t="shared" ca="1" si="2"/>
        <v>20</v>
      </c>
      <c r="K12" s="19">
        <f t="shared" ca="1" si="2"/>
        <v>20</v>
      </c>
      <c r="L12" s="19">
        <f t="shared" ca="1" si="2"/>
        <v>20</v>
      </c>
      <c r="M12" s="19">
        <f t="shared" ca="1" si="2"/>
        <v>20</v>
      </c>
      <c r="N12" s="19">
        <f t="shared" ca="1" si="2"/>
        <v>20</v>
      </c>
      <c r="O12" s="19">
        <f t="shared" ca="1" si="2"/>
        <v>20</v>
      </c>
      <c r="P12" s="19">
        <f t="shared" ca="1" si="2"/>
        <v>20</v>
      </c>
      <c r="Q12" s="19">
        <f t="shared" ca="1" si="2"/>
        <v>20</v>
      </c>
      <c r="R12" s="19">
        <f t="shared" ca="1" si="2"/>
        <v>20</v>
      </c>
      <c r="S12" s="20">
        <f t="shared" ca="1" si="2"/>
        <v>20</v>
      </c>
      <c r="V12" s="4">
        <f>(2*$E$3*($B12-$O$3))/($E$4*($O$3-$J$2))</f>
        <v>4.6018196527443558E-2</v>
      </c>
      <c r="X12" s="4">
        <v>50</v>
      </c>
    </row>
    <row r="13" spans="1:24" x14ac:dyDescent="0.45">
      <c r="B13" s="21" t="s">
        <v>15</v>
      </c>
      <c r="C13" s="22">
        <v>12</v>
      </c>
      <c r="D13" s="23">
        <v>13</v>
      </c>
      <c r="E13" s="23">
        <v>14</v>
      </c>
      <c r="F13" s="23">
        <v>15</v>
      </c>
      <c r="G13" s="23">
        <v>16</v>
      </c>
      <c r="H13" s="23">
        <v>16</v>
      </c>
      <c r="I13" s="23">
        <v>16</v>
      </c>
      <c r="J13" s="23">
        <v>17</v>
      </c>
      <c r="K13" s="23">
        <v>17</v>
      </c>
      <c r="L13" s="23">
        <v>17</v>
      </c>
      <c r="M13" s="23">
        <v>18</v>
      </c>
      <c r="N13" s="23">
        <v>18</v>
      </c>
      <c r="O13" s="23">
        <v>18</v>
      </c>
      <c r="P13" s="23">
        <v>18</v>
      </c>
      <c r="Q13" s="23">
        <v>19</v>
      </c>
      <c r="R13" s="23">
        <v>19</v>
      </c>
      <c r="S13" s="24">
        <v>19</v>
      </c>
      <c r="X13" s="4">
        <v>63</v>
      </c>
    </row>
    <row r="14" spans="1:24" ht="19.8" x14ac:dyDescent="0.5">
      <c r="B14" s="17">
        <v>0</v>
      </c>
      <c r="C14" s="18">
        <f t="shared" ref="C14:S14" ca="1" si="3">IFERROR(OFFSET($X$5,MATCH(C15-0.1,$X$5:$X$14,1),0),6)</f>
        <v>20</v>
      </c>
      <c r="D14" s="19">
        <f t="shared" ca="1" si="3"/>
        <v>20</v>
      </c>
      <c r="E14" s="19">
        <f t="shared" ca="1" si="3"/>
        <v>20</v>
      </c>
      <c r="F14" s="19">
        <f t="shared" ca="1" si="3"/>
        <v>20</v>
      </c>
      <c r="G14" s="19">
        <f t="shared" ca="1" si="3"/>
        <v>20</v>
      </c>
      <c r="H14" s="19">
        <f t="shared" ca="1" si="3"/>
        <v>20</v>
      </c>
      <c r="I14" s="19">
        <f t="shared" ca="1" si="3"/>
        <v>20</v>
      </c>
      <c r="J14" s="19">
        <f t="shared" ca="1" si="3"/>
        <v>20</v>
      </c>
      <c r="K14" s="19">
        <f t="shared" ca="1" si="3"/>
        <v>20</v>
      </c>
      <c r="L14" s="19">
        <f t="shared" ca="1" si="3"/>
        <v>20</v>
      </c>
      <c r="M14" s="19">
        <f t="shared" ca="1" si="3"/>
        <v>25</v>
      </c>
      <c r="N14" s="19">
        <f t="shared" ca="1" si="3"/>
        <v>25</v>
      </c>
      <c r="O14" s="19">
        <f t="shared" ca="1" si="3"/>
        <v>25</v>
      </c>
      <c r="P14" s="19">
        <f t="shared" ca="1" si="3"/>
        <v>25</v>
      </c>
      <c r="Q14" s="19">
        <f t="shared" ca="1" si="3"/>
        <v>25</v>
      </c>
      <c r="R14" s="19">
        <f t="shared" ca="1" si="3"/>
        <v>25</v>
      </c>
      <c r="S14" s="20">
        <f t="shared" ca="1" si="3"/>
        <v>25</v>
      </c>
      <c r="V14" s="4">
        <f>(2*$E$3*($B14-$O$3))/($E$4*($O$3-$J$2))</f>
        <v>5.6732946944043385E-2</v>
      </c>
      <c r="X14" s="4">
        <v>75</v>
      </c>
    </row>
    <row r="15" spans="1:24" x14ac:dyDescent="0.45">
      <c r="B15" s="25" t="s">
        <v>15</v>
      </c>
      <c r="C15" s="26">
        <v>14</v>
      </c>
      <c r="D15" s="27">
        <v>16</v>
      </c>
      <c r="E15" s="27">
        <v>17</v>
      </c>
      <c r="F15" s="27">
        <v>17</v>
      </c>
      <c r="G15" s="27">
        <v>18</v>
      </c>
      <c r="H15" s="27">
        <v>19</v>
      </c>
      <c r="I15" s="27">
        <v>19</v>
      </c>
      <c r="J15" s="27">
        <v>20</v>
      </c>
      <c r="K15" s="27">
        <v>20</v>
      </c>
      <c r="L15" s="27">
        <v>20</v>
      </c>
      <c r="M15" s="27">
        <v>21</v>
      </c>
      <c r="N15" s="27">
        <v>21</v>
      </c>
      <c r="O15" s="27">
        <v>21</v>
      </c>
      <c r="P15" s="27">
        <v>22</v>
      </c>
      <c r="Q15" s="27">
        <v>22</v>
      </c>
      <c r="R15" s="27">
        <v>23</v>
      </c>
      <c r="S15" s="28">
        <v>23</v>
      </c>
      <c r="X15" s="4">
        <v>100</v>
      </c>
    </row>
    <row r="16" spans="1:24" ht="19.8" x14ac:dyDescent="0.5">
      <c r="B16" s="17">
        <v>-5</v>
      </c>
      <c r="C16" s="18">
        <f t="shared" ref="C16:S16" ca="1" si="4">IFERROR(OFFSET($X$5,MATCH(C17-0.1,$X$5:$X$14,1),0),6)</f>
        <v>20</v>
      </c>
      <c r="D16" s="19">
        <f t="shared" ca="1" si="4"/>
        <v>20</v>
      </c>
      <c r="E16" s="19">
        <f t="shared" ca="1" si="4"/>
        <v>20</v>
      </c>
      <c r="F16" s="19">
        <f t="shared" ca="1" si="4"/>
        <v>20</v>
      </c>
      <c r="G16" s="19">
        <f t="shared" ca="1" si="4"/>
        <v>25</v>
      </c>
      <c r="H16" s="19">
        <f t="shared" ca="1" si="4"/>
        <v>25</v>
      </c>
      <c r="I16" s="19">
        <f t="shared" ca="1" si="4"/>
        <v>25</v>
      </c>
      <c r="J16" s="19">
        <f t="shared" ca="1" si="4"/>
        <v>25</v>
      </c>
      <c r="K16" s="19">
        <f t="shared" ca="1" si="4"/>
        <v>25</v>
      </c>
      <c r="L16" s="19">
        <f t="shared" ca="1" si="4"/>
        <v>25</v>
      </c>
      <c r="M16" s="19">
        <f t="shared" ca="1" si="4"/>
        <v>25</v>
      </c>
      <c r="N16" s="19">
        <f t="shared" ca="1" si="4"/>
        <v>25</v>
      </c>
      <c r="O16" s="19">
        <f t="shared" ca="1" si="4"/>
        <v>25</v>
      </c>
      <c r="P16" s="19">
        <f t="shared" ca="1" si="4"/>
        <v>25</v>
      </c>
      <c r="Q16" s="19">
        <f t="shared" ca="1" si="4"/>
        <v>25</v>
      </c>
      <c r="R16" s="19">
        <f t="shared" ca="1" si="4"/>
        <v>32</v>
      </c>
      <c r="S16" s="20">
        <f t="shared" ca="1" si="4"/>
        <v>32</v>
      </c>
      <c r="V16" s="4">
        <f>(2*$E$3*($B16-$O$3))/($E$4*($O$3-$J$2))</f>
        <v>6.7447697360643197E-2</v>
      </c>
    </row>
    <row r="17" spans="2:22" x14ac:dyDescent="0.45">
      <c r="B17" s="21" t="s">
        <v>15</v>
      </c>
      <c r="C17" s="22">
        <v>16</v>
      </c>
      <c r="D17" s="23">
        <v>18</v>
      </c>
      <c r="E17" s="23">
        <v>19</v>
      </c>
      <c r="F17" s="23">
        <v>20</v>
      </c>
      <c r="G17" s="23">
        <v>21</v>
      </c>
      <c r="H17" s="23">
        <v>21</v>
      </c>
      <c r="I17" s="23">
        <v>22</v>
      </c>
      <c r="J17" s="23">
        <v>22</v>
      </c>
      <c r="K17" s="23">
        <v>23</v>
      </c>
      <c r="L17" s="23">
        <v>23</v>
      </c>
      <c r="M17" s="23">
        <v>24</v>
      </c>
      <c r="N17" s="23">
        <v>24</v>
      </c>
      <c r="O17" s="23">
        <v>24</v>
      </c>
      <c r="P17" s="23">
        <v>25</v>
      </c>
      <c r="Q17" s="23">
        <v>25</v>
      </c>
      <c r="R17" s="23">
        <v>26</v>
      </c>
      <c r="S17" s="24">
        <v>27</v>
      </c>
    </row>
    <row r="18" spans="2:22" ht="19.8" x14ac:dyDescent="0.5">
      <c r="B18" s="17">
        <v>-10</v>
      </c>
      <c r="C18" s="18">
        <f t="shared" ref="C18:S18" ca="1" si="5">IFERROR(OFFSET($X$5,MATCH(C19-0.1,$X$5:$X$14,1),0),6)</f>
        <v>20</v>
      </c>
      <c r="D18" s="19">
        <f t="shared" ca="1" si="5"/>
        <v>20</v>
      </c>
      <c r="E18" s="19">
        <f t="shared" ca="1" si="5"/>
        <v>25</v>
      </c>
      <c r="F18" s="19">
        <f t="shared" ca="1" si="5"/>
        <v>25</v>
      </c>
      <c r="G18" s="19">
        <f t="shared" ca="1" si="5"/>
        <v>25</v>
      </c>
      <c r="H18" s="19">
        <f t="shared" ca="1" si="5"/>
        <v>25</v>
      </c>
      <c r="I18" s="19">
        <f t="shared" ca="1" si="5"/>
        <v>25</v>
      </c>
      <c r="J18" s="19">
        <f t="shared" ca="1" si="5"/>
        <v>25</v>
      </c>
      <c r="K18" s="19">
        <f t="shared" ca="1" si="5"/>
        <v>32</v>
      </c>
      <c r="L18" s="19">
        <f t="shared" ca="1" si="5"/>
        <v>32</v>
      </c>
      <c r="M18" s="19">
        <f t="shared" ca="1" si="5"/>
        <v>32</v>
      </c>
      <c r="N18" s="19">
        <f t="shared" ca="1" si="5"/>
        <v>32</v>
      </c>
      <c r="O18" s="19">
        <f t="shared" ca="1" si="5"/>
        <v>32</v>
      </c>
      <c r="P18" s="19">
        <f t="shared" ca="1" si="5"/>
        <v>32</v>
      </c>
      <c r="Q18" s="19">
        <f t="shared" ca="1" si="5"/>
        <v>32</v>
      </c>
      <c r="R18" s="19">
        <f t="shared" ca="1" si="5"/>
        <v>32</v>
      </c>
      <c r="S18" s="20">
        <f t="shared" ca="1" si="5"/>
        <v>32</v>
      </c>
      <c r="V18" s="4">
        <f>(2*$E$3*($B18-$O$3))/($E$4*($O$3-$J$2))</f>
        <v>7.816244777724303E-2</v>
      </c>
    </row>
    <row r="19" spans="2:22" x14ac:dyDescent="0.45">
      <c r="B19" s="25" t="s">
        <v>15</v>
      </c>
      <c r="C19" s="26">
        <v>18</v>
      </c>
      <c r="D19" s="27">
        <v>20</v>
      </c>
      <c r="E19" s="27">
        <v>21</v>
      </c>
      <c r="F19" s="27">
        <v>22</v>
      </c>
      <c r="G19" s="27">
        <v>23</v>
      </c>
      <c r="H19" s="27">
        <v>24</v>
      </c>
      <c r="I19" s="27">
        <v>25</v>
      </c>
      <c r="J19" s="27">
        <v>25</v>
      </c>
      <c r="K19" s="27">
        <v>26</v>
      </c>
      <c r="L19" s="27">
        <v>26</v>
      </c>
      <c r="M19" s="27">
        <v>27</v>
      </c>
      <c r="N19" s="27">
        <v>27</v>
      </c>
      <c r="O19" s="27">
        <v>28</v>
      </c>
      <c r="P19" s="27">
        <v>28</v>
      </c>
      <c r="Q19" s="27">
        <v>29</v>
      </c>
      <c r="R19" s="27">
        <v>29</v>
      </c>
      <c r="S19" s="28">
        <v>30</v>
      </c>
    </row>
    <row r="20" spans="2:22" ht="19.8" x14ac:dyDescent="0.5">
      <c r="B20" s="17">
        <v>-15</v>
      </c>
      <c r="C20" s="18">
        <f t="shared" ref="C20:S20" ca="1" si="6">IFERROR(OFFSET($X$5,MATCH(C21-0.1,$X$5:$X$14,1),0),6)</f>
        <v>20</v>
      </c>
      <c r="D20" s="19">
        <f t="shared" ca="1" si="6"/>
        <v>25</v>
      </c>
      <c r="E20" s="19">
        <f t="shared" ca="1" si="6"/>
        <v>25</v>
      </c>
      <c r="F20" s="19">
        <f t="shared" ca="1" si="6"/>
        <v>25</v>
      </c>
      <c r="G20" s="19">
        <f t="shared" ca="1" si="6"/>
        <v>32</v>
      </c>
      <c r="H20" s="19">
        <f t="shared" ca="1" si="6"/>
        <v>32</v>
      </c>
      <c r="I20" s="19">
        <f t="shared" ca="1" si="6"/>
        <v>32</v>
      </c>
      <c r="J20" s="19">
        <f t="shared" ca="1" si="6"/>
        <v>32</v>
      </c>
      <c r="K20" s="19">
        <f t="shared" ca="1" si="6"/>
        <v>32</v>
      </c>
      <c r="L20" s="19">
        <f t="shared" ca="1" si="6"/>
        <v>32</v>
      </c>
      <c r="M20" s="19">
        <f t="shared" ca="1" si="6"/>
        <v>32</v>
      </c>
      <c r="N20" s="19">
        <f t="shared" ca="1" si="6"/>
        <v>32</v>
      </c>
      <c r="O20" s="19">
        <f t="shared" ca="1" si="6"/>
        <v>32</v>
      </c>
      <c r="P20" s="19">
        <f t="shared" ca="1" si="6"/>
        <v>32</v>
      </c>
      <c r="Q20" s="19">
        <f t="shared" ca="1" si="6"/>
        <v>32</v>
      </c>
      <c r="R20" s="19">
        <f t="shared" ca="1" si="6"/>
        <v>38</v>
      </c>
      <c r="S20" s="20">
        <f t="shared" ca="1" si="6"/>
        <v>38</v>
      </c>
      <c r="V20" s="4">
        <f>(2*$E$3*($B20-$O$3))/($E$4*($O$3-$J$2))</f>
        <v>8.8877198193842863E-2</v>
      </c>
    </row>
    <row r="21" spans="2:22" x14ac:dyDescent="0.45">
      <c r="B21" s="21" t="s">
        <v>15</v>
      </c>
      <c r="C21" s="22">
        <v>20</v>
      </c>
      <c r="D21" s="23">
        <v>22</v>
      </c>
      <c r="E21" s="23">
        <v>23</v>
      </c>
      <c r="F21" s="23">
        <v>25</v>
      </c>
      <c r="G21" s="23">
        <v>26</v>
      </c>
      <c r="H21" s="23">
        <v>26</v>
      </c>
      <c r="I21" s="23">
        <v>27</v>
      </c>
      <c r="J21" s="23">
        <v>28</v>
      </c>
      <c r="K21" s="23">
        <v>28</v>
      </c>
      <c r="L21" s="23">
        <v>29</v>
      </c>
      <c r="M21" s="23">
        <v>30</v>
      </c>
      <c r="N21" s="23">
        <v>30</v>
      </c>
      <c r="O21" s="23">
        <v>30</v>
      </c>
      <c r="P21" s="23">
        <v>31</v>
      </c>
      <c r="Q21" s="23">
        <v>32</v>
      </c>
      <c r="R21" s="23">
        <v>33</v>
      </c>
      <c r="S21" s="24">
        <v>34</v>
      </c>
    </row>
    <row r="22" spans="2:22" ht="19.8" x14ac:dyDescent="0.5">
      <c r="B22" s="17">
        <v>-20</v>
      </c>
      <c r="C22" s="18">
        <f t="shared" ref="C22:S22" ca="1" si="7">IFERROR(OFFSET($X$5,MATCH(C23-0.1,$X$5:$X$14,1),0),6)</f>
        <v>25</v>
      </c>
      <c r="D22" s="19">
        <f t="shared" ca="1" si="7"/>
        <v>25</v>
      </c>
      <c r="E22" s="19">
        <f t="shared" ca="1" si="7"/>
        <v>25</v>
      </c>
      <c r="F22" s="19">
        <f t="shared" ca="1" si="7"/>
        <v>32</v>
      </c>
      <c r="G22" s="19">
        <f t="shared" ca="1" si="7"/>
        <v>32</v>
      </c>
      <c r="H22" s="19">
        <f t="shared" ca="1" si="7"/>
        <v>32</v>
      </c>
      <c r="I22" s="19">
        <f t="shared" ca="1" si="7"/>
        <v>32</v>
      </c>
      <c r="J22" s="19">
        <f t="shared" ca="1" si="7"/>
        <v>32</v>
      </c>
      <c r="K22" s="19">
        <f t="shared" ca="1" si="7"/>
        <v>32</v>
      </c>
      <c r="L22" s="19">
        <f t="shared" ca="1" si="7"/>
        <v>32</v>
      </c>
      <c r="M22" s="19">
        <f t="shared" ca="1" si="7"/>
        <v>32</v>
      </c>
      <c r="N22" s="19">
        <f t="shared" ca="1" si="7"/>
        <v>38</v>
      </c>
      <c r="O22" s="19">
        <f t="shared" ca="1" si="7"/>
        <v>38</v>
      </c>
      <c r="P22" s="19">
        <f t="shared" ca="1" si="7"/>
        <v>38</v>
      </c>
      <c r="Q22" s="19">
        <f t="shared" ca="1" si="7"/>
        <v>38</v>
      </c>
      <c r="R22" s="19">
        <f t="shared" ca="1" si="7"/>
        <v>38</v>
      </c>
      <c r="S22" s="20">
        <f t="shared" ca="1" si="7"/>
        <v>38</v>
      </c>
      <c r="V22" s="4">
        <f>(2*$E$3*($B22-$O$3))/($E$4*($O$3-$J$2))</f>
        <v>9.9591948610442682E-2</v>
      </c>
    </row>
    <row r="23" spans="2:22" x14ac:dyDescent="0.45">
      <c r="B23" s="25" t="s">
        <v>15</v>
      </c>
      <c r="C23" s="26">
        <v>22</v>
      </c>
      <c r="D23" s="27">
        <v>24</v>
      </c>
      <c r="E23" s="27">
        <v>25</v>
      </c>
      <c r="F23" s="27">
        <v>27</v>
      </c>
      <c r="G23" s="27">
        <v>28</v>
      </c>
      <c r="H23" s="27">
        <v>29</v>
      </c>
      <c r="I23" s="27">
        <v>30</v>
      </c>
      <c r="J23" s="27">
        <v>30</v>
      </c>
      <c r="K23" s="27">
        <v>31</v>
      </c>
      <c r="L23" s="27">
        <v>32</v>
      </c>
      <c r="M23" s="27">
        <v>32</v>
      </c>
      <c r="N23" s="27">
        <v>33</v>
      </c>
      <c r="O23" s="27">
        <v>33</v>
      </c>
      <c r="P23" s="27">
        <v>34</v>
      </c>
      <c r="Q23" s="27">
        <v>35</v>
      </c>
      <c r="R23" s="27">
        <v>36</v>
      </c>
      <c r="S23" s="28">
        <v>37</v>
      </c>
    </row>
    <row r="24" spans="2:22" ht="19.8" x14ac:dyDescent="0.5">
      <c r="B24" s="17">
        <v>-25</v>
      </c>
      <c r="C24" s="18">
        <f t="shared" ref="C24:S24" ca="1" si="8">IFERROR(OFFSET($X$5,MATCH(C25-0.1,$X$5:$X$14,1),0),6)</f>
        <v>25</v>
      </c>
      <c r="D24" s="19">
        <f t="shared" ca="1" si="8"/>
        <v>32</v>
      </c>
      <c r="E24" s="19">
        <f t="shared" ca="1" si="8"/>
        <v>32</v>
      </c>
      <c r="F24" s="19">
        <f t="shared" ca="1" si="8"/>
        <v>32</v>
      </c>
      <c r="G24" s="19">
        <f t="shared" ca="1" si="8"/>
        <v>32</v>
      </c>
      <c r="H24" s="19">
        <f t="shared" ca="1" si="8"/>
        <v>32</v>
      </c>
      <c r="I24" s="19">
        <f t="shared" ca="1" si="8"/>
        <v>32</v>
      </c>
      <c r="J24" s="19">
        <f t="shared" ca="1" si="8"/>
        <v>38</v>
      </c>
      <c r="K24" s="19">
        <f t="shared" ca="1" si="8"/>
        <v>38</v>
      </c>
      <c r="L24" s="19">
        <f t="shared" ca="1" si="8"/>
        <v>38</v>
      </c>
      <c r="M24" s="19">
        <f t="shared" ca="1" si="8"/>
        <v>38</v>
      </c>
      <c r="N24" s="19">
        <f t="shared" ca="1" si="8"/>
        <v>38</v>
      </c>
      <c r="O24" s="19">
        <f t="shared" ca="1" si="8"/>
        <v>38</v>
      </c>
      <c r="P24" s="19">
        <f t="shared" ca="1" si="8"/>
        <v>38</v>
      </c>
      <c r="Q24" s="19">
        <f t="shared" ca="1" si="8"/>
        <v>38</v>
      </c>
      <c r="R24" s="19">
        <f t="shared" ca="1" si="8"/>
        <v>50</v>
      </c>
      <c r="S24" s="20">
        <f t="shared" ca="1" si="8"/>
        <v>50</v>
      </c>
      <c r="V24" s="4">
        <f>(2*$E$3*($B24-$O$3))/($E$4*($O$3-$J$2))</f>
        <v>0.1103066990270425</v>
      </c>
    </row>
    <row r="25" spans="2:22" x14ac:dyDescent="0.45">
      <c r="B25" s="21" t="s">
        <v>15</v>
      </c>
      <c r="C25" s="22">
        <v>24</v>
      </c>
      <c r="D25" s="23">
        <v>26</v>
      </c>
      <c r="E25" s="23">
        <v>27</v>
      </c>
      <c r="F25" s="23">
        <v>29</v>
      </c>
      <c r="G25" s="23">
        <v>30</v>
      </c>
      <c r="H25" s="23">
        <v>31</v>
      </c>
      <c r="I25" s="23">
        <v>32</v>
      </c>
      <c r="J25" s="23">
        <v>33</v>
      </c>
      <c r="K25" s="23">
        <v>34</v>
      </c>
      <c r="L25" s="23">
        <v>34</v>
      </c>
      <c r="M25" s="23">
        <v>35</v>
      </c>
      <c r="N25" s="23">
        <v>36</v>
      </c>
      <c r="O25" s="23">
        <v>36</v>
      </c>
      <c r="P25" s="23">
        <v>37</v>
      </c>
      <c r="Q25" s="23">
        <v>38</v>
      </c>
      <c r="R25" s="23">
        <v>39</v>
      </c>
      <c r="S25" s="24">
        <v>40</v>
      </c>
    </row>
    <row r="26" spans="2:22" ht="19.8" x14ac:dyDescent="0.5">
      <c r="B26" s="17">
        <v>-30</v>
      </c>
      <c r="C26" s="18">
        <f t="shared" ref="C26:S26" ca="1" si="9">IFERROR(OFFSET($X$5,MATCH(C27-0.1,$X$5:$X$14,1),0),6)</f>
        <v>25</v>
      </c>
      <c r="D26" s="19">
        <f t="shared" ca="1" si="9"/>
        <v>32</v>
      </c>
      <c r="E26" s="19">
        <f t="shared" ca="1" si="9"/>
        <v>32</v>
      </c>
      <c r="F26" s="19">
        <f t="shared" ca="1" si="9"/>
        <v>32</v>
      </c>
      <c r="G26" s="19">
        <f t="shared" ca="1" si="9"/>
        <v>32</v>
      </c>
      <c r="H26" s="19">
        <f t="shared" ca="1" si="9"/>
        <v>38</v>
      </c>
      <c r="I26" s="19">
        <f t="shared" ca="1" si="9"/>
        <v>38</v>
      </c>
      <c r="J26" s="19">
        <f t="shared" ca="1" si="9"/>
        <v>38</v>
      </c>
      <c r="K26" s="19">
        <f t="shared" ca="1" si="9"/>
        <v>38</v>
      </c>
      <c r="L26" s="19">
        <f t="shared" ca="1" si="9"/>
        <v>38</v>
      </c>
      <c r="M26" s="19">
        <f t="shared" ca="1" si="9"/>
        <v>38</v>
      </c>
      <c r="N26" s="19">
        <f t="shared" ca="1" si="9"/>
        <v>38</v>
      </c>
      <c r="O26" s="19">
        <f t="shared" ca="1" si="9"/>
        <v>50</v>
      </c>
      <c r="P26" s="19">
        <f t="shared" ca="1" si="9"/>
        <v>50</v>
      </c>
      <c r="Q26" s="19">
        <f t="shared" ca="1" si="9"/>
        <v>50</v>
      </c>
      <c r="R26" s="19">
        <f t="shared" ca="1" si="9"/>
        <v>50</v>
      </c>
      <c r="S26" s="20">
        <f t="shared" ca="1" si="9"/>
        <v>50</v>
      </c>
      <c r="V26" s="4">
        <f>(2*$E$3*($B26-$O$3))/($E$4*($O$3-$J$2))</f>
        <v>0.12102144944364233</v>
      </c>
    </row>
    <row r="27" spans="2:22" x14ac:dyDescent="0.45">
      <c r="B27" s="25" t="s">
        <v>15</v>
      </c>
      <c r="C27" s="26">
        <v>25</v>
      </c>
      <c r="D27" s="27">
        <v>28</v>
      </c>
      <c r="E27" s="27">
        <v>29</v>
      </c>
      <c r="F27" s="27">
        <v>31</v>
      </c>
      <c r="G27" s="27">
        <v>32</v>
      </c>
      <c r="H27" s="27">
        <v>33</v>
      </c>
      <c r="I27" s="27">
        <v>34</v>
      </c>
      <c r="J27" s="27">
        <v>35</v>
      </c>
      <c r="K27" s="27">
        <v>36</v>
      </c>
      <c r="L27" s="27">
        <v>37</v>
      </c>
      <c r="M27" s="27">
        <v>38</v>
      </c>
      <c r="N27" s="27">
        <v>38</v>
      </c>
      <c r="O27" s="27">
        <v>39</v>
      </c>
      <c r="P27" s="27">
        <v>40</v>
      </c>
      <c r="Q27" s="27">
        <v>40</v>
      </c>
      <c r="R27" s="27">
        <v>42</v>
      </c>
      <c r="S27" s="28">
        <v>43</v>
      </c>
    </row>
    <row r="28" spans="2:22" ht="19.8" x14ac:dyDescent="0.5">
      <c r="B28" s="17">
        <v>-35</v>
      </c>
      <c r="C28" s="18">
        <f t="shared" ref="C28:S28" ca="1" si="10">IFERROR(OFFSET($X$5,MATCH(C29-0.1,$X$5:$X$14,1),0),6)</f>
        <v>32</v>
      </c>
      <c r="D28" s="19">
        <f t="shared" ca="1" si="10"/>
        <v>32</v>
      </c>
      <c r="E28" s="19">
        <f t="shared" ca="1" si="10"/>
        <v>32</v>
      </c>
      <c r="F28" s="19">
        <f t="shared" ca="1" si="10"/>
        <v>38</v>
      </c>
      <c r="G28" s="19">
        <f t="shared" ca="1" si="10"/>
        <v>38</v>
      </c>
      <c r="H28" s="19">
        <f t="shared" ca="1" si="10"/>
        <v>38</v>
      </c>
      <c r="I28" s="19">
        <f t="shared" ca="1" si="10"/>
        <v>38</v>
      </c>
      <c r="J28" s="19">
        <f t="shared" ca="1" si="10"/>
        <v>38</v>
      </c>
      <c r="K28" s="19">
        <f t="shared" ca="1" si="10"/>
        <v>50</v>
      </c>
      <c r="L28" s="19">
        <f t="shared" ca="1" si="10"/>
        <v>50</v>
      </c>
      <c r="M28" s="19">
        <f t="shared" ca="1" si="10"/>
        <v>50</v>
      </c>
      <c r="N28" s="19">
        <f t="shared" ca="1" si="10"/>
        <v>50</v>
      </c>
      <c r="O28" s="19">
        <f t="shared" ca="1" si="10"/>
        <v>50</v>
      </c>
      <c r="P28" s="19">
        <f t="shared" ca="1" si="10"/>
        <v>50</v>
      </c>
      <c r="Q28" s="19">
        <f t="shared" ca="1" si="10"/>
        <v>50</v>
      </c>
      <c r="R28" s="19">
        <f t="shared" ca="1" si="10"/>
        <v>50</v>
      </c>
      <c r="S28" s="20">
        <f t="shared" ca="1" si="10"/>
        <v>50</v>
      </c>
      <c r="V28" s="4">
        <f>(2*$E$3*($B28-$O$3))/($E$4*($O$3-$J$2))</f>
        <v>0.13173619986024215</v>
      </c>
    </row>
    <row r="29" spans="2:22" x14ac:dyDescent="0.45">
      <c r="B29" s="21" t="s">
        <v>15</v>
      </c>
      <c r="C29" s="22">
        <v>27</v>
      </c>
      <c r="D29" s="23">
        <v>29</v>
      </c>
      <c r="E29" s="23">
        <v>31</v>
      </c>
      <c r="F29" s="23">
        <v>33</v>
      </c>
      <c r="G29" s="23">
        <v>35</v>
      </c>
      <c r="H29" s="23">
        <v>36</v>
      </c>
      <c r="I29" s="23">
        <v>37</v>
      </c>
      <c r="J29" s="23">
        <v>38</v>
      </c>
      <c r="K29" s="23">
        <v>39</v>
      </c>
      <c r="L29" s="23">
        <v>39</v>
      </c>
      <c r="M29" s="23">
        <v>40</v>
      </c>
      <c r="N29" s="23">
        <v>41</v>
      </c>
      <c r="O29" s="23">
        <v>41</v>
      </c>
      <c r="P29" s="23">
        <v>43</v>
      </c>
      <c r="Q29" s="23">
        <v>43</v>
      </c>
      <c r="R29" s="23">
        <v>45</v>
      </c>
      <c r="S29" s="24">
        <v>46</v>
      </c>
    </row>
    <row r="30" spans="2:22" ht="19.8" x14ac:dyDescent="0.5">
      <c r="B30" s="17">
        <v>-40</v>
      </c>
      <c r="C30" s="18">
        <f t="shared" ref="C30:S30" ca="1" si="11">IFERROR(OFFSET($X$5,MATCH(C31-0.1,$X$5:$X$14,1),0),6)</f>
        <v>32</v>
      </c>
      <c r="D30" s="19">
        <f t="shared" ca="1" si="11"/>
        <v>32</v>
      </c>
      <c r="E30" s="19">
        <f t="shared" ca="1" si="11"/>
        <v>38</v>
      </c>
      <c r="F30" s="19">
        <f t="shared" ca="1" si="11"/>
        <v>38</v>
      </c>
      <c r="G30" s="19">
        <f t="shared" ca="1" si="11"/>
        <v>38</v>
      </c>
      <c r="H30" s="19">
        <f t="shared" ca="1" si="11"/>
        <v>38</v>
      </c>
      <c r="I30" s="19">
        <f t="shared" ca="1" si="11"/>
        <v>50</v>
      </c>
      <c r="J30" s="19">
        <f t="shared" ca="1" si="11"/>
        <v>50</v>
      </c>
      <c r="K30" s="19">
        <f t="shared" ca="1" si="11"/>
        <v>50</v>
      </c>
      <c r="L30" s="19">
        <f t="shared" ca="1" si="11"/>
        <v>50</v>
      </c>
      <c r="M30" s="19">
        <f t="shared" ca="1" si="11"/>
        <v>50</v>
      </c>
      <c r="N30" s="19">
        <f t="shared" ca="1" si="11"/>
        <v>50</v>
      </c>
      <c r="O30" s="19">
        <f t="shared" ca="1" si="11"/>
        <v>50</v>
      </c>
      <c r="P30" s="19">
        <f t="shared" ca="1" si="11"/>
        <v>50</v>
      </c>
      <c r="Q30" s="19">
        <f t="shared" ca="1" si="11"/>
        <v>50</v>
      </c>
      <c r="R30" s="19">
        <f t="shared" ca="1" si="11"/>
        <v>50</v>
      </c>
      <c r="S30" s="20">
        <f t="shared" ca="1" si="11"/>
        <v>50</v>
      </c>
      <c r="V30" s="4">
        <f>(2*$E$3*($B30-$O$3))/($E$4*($O$3-$J$2))</f>
        <v>0.14245095027684196</v>
      </c>
    </row>
    <row r="31" spans="2:22" x14ac:dyDescent="0.45">
      <c r="B31" s="25" t="s">
        <v>15</v>
      </c>
      <c r="C31" s="26">
        <v>29</v>
      </c>
      <c r="D31" s="27">
        <v>31</v>
      </c>
      <c r="E31" s="27">
        <v>33</v>
      </c>
      <c r="F31" s="27">
        <v>35</v>
      </c>
      <c r="G31" s="27">
        <v>37</v>
      </c>
      <c r="H31" s="27">
        <v>38</v>
      </c>
      <c r="I31" s="27">
        <v>39</v>
      </c>
      <c r="J31" s="27">
        <v>40</v>
      </c>
      <c r="K31" s="27">
        <v>41</v>
      </c>
      <c r="L31" s="27">
        <v>42</v>
      </c>
      <c r="M31" s="27">
        <v>43</v>
      </c>
      <c r="N31" s="27">
        <v>43</v>
      </c>
      <c r="O31" s="27">
        <v>44</v>
      </c>
      <c r="P31" s="27">
        <v>45</v>
      </c>
      <c r="Q31" s="27">
        <v>46</v>
      </c>
      <c r="R31" s="27">
        <v>47</v>
      </c>
      <c r="S31" s="28">
        <v>49</v>
      </c>
    </row>
    <row r="32" spans="2:22" ht="19.8" x14ac:dyDescent="0.5">
      <c r="B32" s="17">
        <v>-45</v>
      </c>
      <c r="C32" s="18">
        <f t="shared" ref="C32:S32" ca="1" si="12">IFERROR(OFFSET($X$5,MATCH(C33-0.1,$X$5:$X$14,1),0),6)</f>
        <v>32</v>
      </c>
      <c r="D32" s="19">
        <f t="shared" ca="1" si="12"/>
        <v>38</v>
      </c>
      <c r="E32" s="19">
        <f t="shared" ca="1" si="12"/>
        <v>38</v>
      </c>
      <c r="F32" s="19">
        <f t="shared" ca="1" si="12"/>
        <v>38</v>
      </c>
      <c r="G32" s="19">
        <f t="shared" ca="1" si="12"/>
        <v>50</v>
      </c>
      <c r="H32" s="19">
        <f t="shared" ca="1" si="12"/>
        <v>50</v>
      </c>
      <c r="I32" s="19">
        <f t="shared" ca="1" si="12"/>
        <v>50</v>
      </c>
      <c r="J32" s="19">
        <f t="shared" ca="1" si="12"/>
        <v>50</v>
      </c>
      <c r="K32" s="19">
        <f t="shared" ca="1" si="12"/>
        <v>50</v>
      </c>
      <c r="L32" s="19">
        <f t="shared" ca="1" si="12"/>
        <v>50</v>
      </c>
      <c r="M32" s="19">
        <f t="shared" ca="1" si="12"/>
        <v>50</v>
      </c>
      <c r="N32" s="19">
        <f t="shared" ca="1" si="12"/>
        <v>50</v>
      </c>
      <c r="O32" s="19">
        <f t="shared" ca="1" si="12"/>
        <v>50</v>
      </c>
      <c r="P32" s="19">
        <f t="shared" ca="1" si="12"/>
        <v>50</v>
      </c>
      <c r="Q32" s="19">
        <f t="shared" ca="1" si="12"/>
        <v>50</v>
      </c>
      <c r="R32" s="19">
        <f t="shared" ca="1" si="12"/>
        <v>50</v>
      </c>
      <c r="S32" s="20">
        <f t="shared" ca="1" si="12"/>
        <v>63</v>
      </c>
      <c r="V32" s="4">
        <f>(2*$E$3*($B32-$O$3))/($E$4*($O$3-$J$2))</f>
        <v>0.15316570069344179</v>
      </c>
    </row>
    <row r="33" spans="2:22" x14ac:dyDescent="0.45">
      <c r="B33" s="21" t="s">
        <v>15</v>
      </c>
      <c r="C33" s="22">
        <v>30</v>
      </c>
      <c r="D33" s="23">
        <v>33</v>
      </c>
      <c r="E33" s="23">
        <v>35</v>
      </c>
      <c r="F33" s="23">
        <v>37</v>
      </c>
      <c r="G33" s="23">
        <v>39</v>
      </c>
      <c r="H33" s="23">
        <v>40</v>
      </c>
      <c r="I33" s="23">
        <v>41</v>
      </c>
      <c r="J33" s="23">
        <v>42</v>
      </c>
      <c r="K33" s="23">
        <v>43</v>
      </c>
      <c r="L33" s="23">
        <v>44</v>
      </c>
      <c r="M33" s="23">
        <v>45</v>
      </c>
      <c r="N33" s="23">
        <v>46</v>
      </c>
      <c r="O33" s="23">
        <v>47</v>
      </c>
      <c r="P33" s="23">
        <v>48</v>
      </c>
      <c r="Q33" s="23">
        <v>48</v>
      </c>
      <c r="R33" s="23">
        <v>50</v>
      </c>
      <c r="S33" s="24">
        <v>52</v>
      </c>
    </row>
    <row r="34" spans="2:22" ht="19.8" x14ac:dyDescent="0.5">
      <c r="B34" s="17">
        <v>-50</v>
      </c>
      <c r="C34" s="18">
        <f t="shared" ref="C34:S34" ca="1" si="13">IFERROR(OFFSET($X$5,MATCH(C35-0.1,$X$5:$X$14,1),0),6)</f>
        <v>32</v>
      </c>
      <c r="D34" s="19">
        <f t="shared" ca="1" si="13"/>
        <v>38</v>
      </c>
      <c r="E34" s="19">
        <f t="shared" ca="1" si="13"/>
        <v>38</v>
      </c>
      <c r="F34" s="19">
        <f t="shared" ca="1" si="13"/>
        <v>50</v>
      </c>
      <c r="G34" s="19">
        <f t="shared" ca="1" si="13"/>
        <v>50</v>
      </c>
      <c r="H34" s="19">
        <f t="shared" ca="1" si="13"/>
        <v>50</v>
      </c>
      <c r="I34" s="19">
        <f t="shared" ca="1" si="13"/>
        <v>50</v>
      </c>
      <c r="J34" s="19">
        <f t="shared" ca="1" si="13"/>
        <v>50</v>
      </c>
      <c r="K34" s="19">
        <f t="shared" ca="1" si="13"/>
        <v>50</v>
      </c>
      <c r="L34" s="19">
        <f t="shared" ca="1" si="13"/>
        <v>50</v>
      </c>
      <c r="M34" s="19">
        <f t="shared" ca="1" si="13"/>
        <v>50</v>
      </c>
      <c r="N34" s="19">
        <f t="shared" ca="1" si="13"/>
        <v>50</v>
      </c>
      <c r="O34" s="19">
        <f t="shared" ca="1" si="13"/>
        <v>50</v>
      </c>
      <c r="P34" s="19">
        <f t="shared" ca="1" si="13"/>
        <v>50</v>
      </c>
      <c r="Q34" s="19">
        <f t="shared" ca="1" si="13"/>
        <v>63</v>
      </c>
      <c r="R34" s="19">
        <f t="shared" ca="1" si="13"/>
        <v>63</v>
      </c>
      <c r="S34" s="20">
        <f t="shared" ca="1" si="13"/>
        <v>63</v>
      </c>
      <c r="V34" s="4">
        <f>(2*$E$3*($B34-$O$3))/($E$4*($O$3-$J$2))</f>
        <v>0.16388045111004163</v>
      </c>
    </row>
    <row r="35" spans="2:22" ht="18.600000000000001" thickBot="1" x14ac:dyDescent="0.5">
      <c r="B35" s="29" t="s">
        <v>15</v>
      </c>
      <c r="C35" s="30">
        <v>32</v>
      </c>
      <c r="D35" s="31">
        <v>35</v>
      </c>
      <c r="E35" s="31">
        <v>37</v>
      </c>
      <c r="F35" s="31">
        <v>39</v>
      </c>
      <c r="G35" s="31">
        <v>41</v>
      </c>
      <c r="H35" s="31">
        <v>42</v>
      </c>
      <c r="I35" s="31">
        <v>43</v>
      </c>
      <c r="J35" s="31">
        <v>45</v>
      </c>
      <c r="K35" s="31">
        <v>46</v>
      </c>
      <c r="L35" s="31">
        <v>47</v>
      </c>
      <c r="M35" s="31">
        <v>47</v>
      </c>
      <c r="N35" s="31">
        <v>48</v>
      </c>
      <c r="O35" s="31">
        <v>49</v>
      </c>
      <c r="P35" s="31">
        <v>50</v>
      </c>
      <c r="Q35" s="31">
        <v>51</v>
      </c>
      <c r="R35" s="31">
        <v>53</v>
      </c>
      <c r="S35" s="32">
        <v>55</v>
      </c>
    </row>
    <row r="36" spans="2:22" ht="15" customHeight="1" x14ac:dyDescent="0.45"/>
    <row r="38" spans="2:22" ht="15" customHeight="1" x14ac:dyDescent="0.45"/>
  </sheetData>
  <mergeCells count="1">
    <mergeCell ref="R1:S1"/>
  </mergeCells>
  <phoneticPr fontId="1"/>
  <pageMargins left="0.7" right="0.7" top="0.75" bottom="0.75" header="0.3" footer="0.3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計算">
                <anchor moveWithCells="1" sizeWithCells="1">
                  <from>
                    <xdr:col>1</xdr:col>
                    <xdr:colOff>137160</xdr:colOff>
                    <xdr:row>1</xdr:row>
                    <xdr:rowOff>175260</xdr:rowOff>
                  </from>
                  <to>
                    <xdr:col>1</xdr:col>
                    <xdr:colOff>914400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="70" zoomScaleNormal="70" workbookViewId="0">
      <selection activeCell="Z15" sqref="Z15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防熱計算</vt:lpstr>
      <vt:lpstr>操作方法</vt:lpstr>
      <vt:lpstr>防熱計算!Print_Area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0184</dc:creator>
  <cp:lastModifiedBy>0296</cp:lastModifiedBy>
  <cp:lastPrinted>2019-06-07T07:53:26Z</cp:lastPrinted>
  <dcterms:created xsi:type="dcterms:W3CDTF">2015-06-05T18:19:34Z</dcterms:created>
  <dcterms:modified xsi:type="dcterms:W3CDTF">2022-06-29T01:22:24Z</dcterms:modified>
</cp:coreProperties>
</file>