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296\Documents\Equipment-selection\"/>
    </mc:Choice>
  </mc:AlternateContent>
  <xr:revisionPtr revIDLastSave="0" documentId="13_ncr:1_{5B8229B5-8A52-4971-849F-8FDD200DB2DB}" xr6:coauthVersionLast="47" xr6:coauthVersionMax="47" xr10:uidLastSave="{00000000-0000-0000-0000-000000000000}"/>
  <bookViews>
    <workbookView xWindow="-120" yWindow="-120" windowWidth="29040" windowHeight="15720" tabRatio="641" activeTab="5" xr2:uid="{00000000-000D-0000-FFFF-FFFF00000000}"/>
  </bookViews>
  <sheets>
    <sheet name="設計資料" sheetId="64" r:id="rId1"/>
    <sheet name="仮選定" sheetId="68" r:id="rId2"/>
    <sheet name="コピー用" sheetId="54" r:id="rId3"/>
    <sheet name="要求事項" sheetId="70" r:id="rId4"/>
    <sheet name="設計条件" sheetId="5" r:id="rId5"/>
    <sheet name="機器表" sheetId="80" r:id="rId6"/>
    <sheet name="機器リスト A3" sheetId="78" r:id="rId7"/>
    <sheet name="空調機器表" sheetId="79" r:id="rId8"/>
  </sheets>
  <functionGroups builtInGroupCount="19"/>
  <definedNames>
    <definedName name="_xlnm._FilterDatabase" localSheetId="4" hidden="1">設計条件!$AZ$4:$AZ$21</definedName>
    <definedName name="A">#REF!</definedName>
    <definedName name="B">#REF!</definedName>
    <definedName name="D">#REF!</definedName>
    <definedName name="E">#REF!</definedName>
    <definedName name="G">#REF!</definedName>
    <definedName name="_xlnm.Print_Area" localSheetId="2">コピー用!$A$1:$P$70</definedName>
    <definedName name="_xlnm.Print_Area" localSheetId="1">仮選定!$A$1:$X$40</definedName>
    <definedName name="_xlnm.Print_Area" localSheetId="5">機器表!$B$2:$BA$41</definedName>
    <definedName name="_xlnm.Print_Area" localSheetId="7">空調機器表!$B$2:$DP$87</definedName>
    <definedName name="_xlnm.Print_Area" localSheetId="4">設計条件!$A$1:$BA$39</definedName>
    <definedName name="_xlnm.Print_Area" localSheetId="3">要求事項!$A$1:$Z$44</definedName>
  </definedNames>
  <calcPr calcId="191029"/>
</workbook>
</file>

<file path=xl/calcChain.xml><?xml version="1.0" encoding="utf-8"?>
<calcChain xmlns="http://schemas.openxmlformats.org/spreadsheetml/2006/main">
  <c r="A71" i="79" l="1"/>
  <c r="A70" i="79"/>
  <c r="A69" i="79"/>
  <c r="A68" i="79"/>
  <c r="A67" i="79"/>
  <c r="A66" i="79"/>
  <c r="A65" i="79"/>
  <c r="A64" i="79"/>
  <c r="A63" i="79"/>
  <c r="A62" i="79"/>
  <c r="A61" i="79"/>
  <c r="A60" i="79"/>
  <c r="A59" i="79"/>
  <c r="A58" i="79"/>
  <c r="A57" i="79"/>
  <c r="A56" i="79"/>
  <c r="A55" i="79"/>
  <c r="A54" i="79"/>
  <c r="A53" i="79"/>
  <c r="A52" i="79"/>
  <c r="A51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E22" i="54" l="1"/>
  <c r="E20" i="54"/>
  <c r="AU8" i="5"/>
  <c r="AV8" i="5"/>
  <c r="AU9" i="5"/>
  <c r="AV9" i="5"/>
  <c r="AU10" i="5"/>
  <c r="AV10" i="5"/>
  <c r="AU11" i="5"/>
  <c r="AV11" i="5"/>
  <c r="AU12" i="5"/>
  <c r="AV12" i="5"/>
  <c r="AU13" i="5"/>
  <c r="AV13" i="5"/>
  <c r="AU14" i="5"/>
  <c r="AV14" i="5"/>
  <c r="AU15" i="5"/>
  <c r="AV15" i="5"/>
  <c r="AU16" i="5"/>
  <c r="AV16" i="5"/>
  <c r="AU17" i="5"/>
  <c r="AV17" i="5"/>
  <c r="AU18" i="5"/>
  <c r="AV18" i="5"/>
  <c r="AU19" i="5"/>
  <c r="AV19" i="5"/>
  <c r="AU20" i="5"/>
  <c r="AV20" i="5"/>
  <c r="AU21" i="5"/>
  <c r="AV21" i="5"/>
  <c r="AV7" i="5"/>
  <c r="AU7" i="5"/>
  <c r="AO8" i="5"/>
  <c r="AP8" i="5"/>
  <c r="AO9" i="5"/>
  <c r="AP9" i="5"/>
  <c r="AO10" i="5"/>
  <c r="AP10" i="5"/>
  <c r="AO11" i="5"/>
  <c r="AP11" i="5"/>
  <c r="AO12" i="5"/>
  <c r="AP12" i="5"/>
  <c r="AO13" i="5"/>
  <c r="AP13" i="5"/>
  <c r="AO14" i="5"/>
  <c r="AP14" i="5"/>
  <c r="AO15" i="5"/>
  <c r="AP15" i="5"/>
  <c r="AO16" i="5"/>
  <c r="AP16" i="5"/>
  <c r="AO17" i="5"/>
  <c r="AP17" i="5"/>
  <c r="AO18" i="5"/>
  <c r="AP18" i="5"/>
  <c r="AO19" i="5"/>
  <c r="AP19" i="5"/>
  <c r="AO20" i="5"/>
  <c r="AP20" i="5"/>
  <c r="AO21" i="5"/>
  <c r="AP21" i="5"/>
  <c r="AP7" i="5"/>
  <c r="AO7" i="5"/>
  <c r="G8" i="5"/>
  <c r="H8" i="5"/>
  <c r="G9" i="5"/>
  <c r="H9" i="5"/>
  <c r="G10" i="5"/>
  <c r="H10" i="5"/>
  <c r="G11" i="5"/>
  <c r="H11" i="5"/>
  <c r="G12" i="5"/>
  <c r="H12" i="5"/>
  <c r="G13" i="5"/>
  <c r="H13" i="5"/>
  <c r="G14" i="5"/>
  <c r="H14" i="5"/>
  <c r="G15" i="5"/>
  <c r="H15" i="5"/>
  <c r="G16" i="5"/>
  <c r="H16" i="5"/>
  <c r="G17" i="5"/>
  <c r="H17" i="5"/>
  <c r="G18" i="5"/>
  <c r="H18" i="5"/>
  <c r="G19" i="5"/>
  <c r="H19" i="5"/>
  <c r="G20" i="5"/>
  <c r="H20" i="5"/>
  <c r="G21" i="5"/>
  <c r="H21" i="5"/>
  <c r="L8" i="5"/>
  <c r="M8" i="5" s="1"/>
  <c r="L9" i="5"/>
  <c r="M9" i="5" s="1"/>
  <c r="L10" i="5"/>
  <c r="M10" i="5" s="1"/>
  <c r="L11" i="5"/>
  <c r="M11" i="5" s="1"/>
  <c r="L12" i="5"/>
  <c r="M12" i="5" s="1"/>
  <c r="L13" i="5"/>
  <c r="M13" i="5" s="1"/>
  <c r="L14" i="5"/>
  <c r="M14" i="5"/>
  <c r="L15" i="5"/>
  <c r="M15" i="5"/>
  <c r="L16" i="5"/>
  <c r="M16" i="5" s="1"/>
  <c r="L17" i="5"/>
  <c r="M17" i="5" s="1"/>
  <c r="L18" i="5"/>
  <c r="M18" i="5"/>
  <c r="L19" i="5"/>
  <c r="M19" i="5"/>
  <c r="L20" i="5"/>
  <c r="M20" i="5" s="1"/>
  <c r="L21" i="5"/>
  <c r="M21" i="5" s="1"/>
  <c r="M7" i="5"/>
  <c r="L7" i="5"/>
  <c r="H7" i="5"/>
  <c r="G7" i="5"/>
  <c r="AS2" i="5"/>
  <c r="O1" i="54"/>
  <c r="K59" i="54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T7" i="5"/>
  <c r="S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7" i="5"/>
  <c r="F11" i="64" l="1"/>
  <c r="J30" i="64" l="1"/>
  <c r="J29" i="64"/>
  <c r="L28" i="64"/>
  <c r="J27" i="64"/>
  <c r="J24" i="64"/>
  <c r="J23" i="64"/>
  <c r="J22" i="64"/>
  <c r="J17" i="64"/>
  <c r="M11" i="64"/>
  <c r="AD2" i="5"/>
  <c r="AG2" i="5"/>
  <c r="F6" i="68" l="1"/>
  <c r="L6" i="68"/>
  <c r="R6" i="68"/>
  <c r="T7" i="68"/>
  <c r="U7" i="68"/>
  <c r="T8" i="68"/>
  <c r="U8" i="68"/>
  <c r="T9" i="68"/>
  <c r="U9" i="68"/>
  <c r="T10" i="68"/>
  <c r="U10" i="68"/>
  <c r="T11" i="68"/>
  <c r="U11" i="68"/>
  <c r="T12" i="68"/>
  <c r="U12" i="68"/>
  <c r="T13" i="68"/>
  <c r="U13" i="68"/>
  <c r="T14" i="68"/>
  <c r="U14" i="68"/>
  <c r="T15" i="68"/>
  <c r="U15" i="68"/>
  <c r="T16" i="68"/>
  <c r="U16" i="68"/>
  <c r="T17" i="68"/>
  <c r="U17" i="68"/>
  <c r="T18" i="68"/>
  <c r="U18" i="68"/>
  <c r="T19" i="68"/>
  <c r="U19" i="68"/>
  <c r="T20" i="68"/>
  <c r="U20" i="68"/>
  <c r="T21" i="68"/>
  <c r="U21" i="68"/>
  <c r="T22" i="68"/>
  <c r="U22" i="68"/>
  <c r="T23" i="68"/>
  <c r="U23" i="68"/>
  <c r="T24" i="68"/>
  <c r="U24" i="68"/>
  <c r="T25" i="68"/>
  <c r="U25" i="68"/>
  <c r="U6" i="68"/>
  <c r="T6" i="68"/>
  <c r="R7" i="68"/>
  <c r="R8" i="68"/>
  <c r="R9" i="68"/>
  <c r="R10" i="68"/>
  <c r="R11" i="68"/>
  <c r="R12" i="68"/>
  <c r="R13" i="68"/>
  <c r="R14" i="68"/>
  <c r="R15" i="68"/>
  <c r="R16" i="68"/>
  <c r="R17" i="68"/>
  <c r="R18" i="68"/>
  <c r="R19" i="68"/>
  <c r="R20" i="68"/>
  <c r="R21" i="68"/>
  <c r="R22" i="68"/>
  <c r="R23" i="68"/>
  <c r="R24" i="68"/>
  <c r="R25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7" i="68"/>
  <c r="I37" i="54" l="1"/>
  <c r="L13" i="54" l="1"/>
  <c r="O13" i="54"/>
  <c r="O12" i="54"/>
  <c r="L12" i="54"/>
  <c r="D22" i="54" l="1"/>
  <c r="D20" i="54"/>
  <c r="G18" i="54"/>
  <c r="H18" i="54"/>
  <c r="D19" i="54" s="1"/>
  <c r="B43" i="64"/>
  <c r="AZ7" i="5" l="1"/>
  <c r="AZ11" i="5" l="1"/>
  <c r="AZ12" i="5"/>
  <c r="AZ13" i="5"/>
  <c r="AZ14" i="5"/>
  <c r="AZ15" i="5"/>
  <c r="AZ16" i="5"/>
  <c r="AZ17" i="5"/>
  <c r="AZ18" i="5"/>
  <c r="AZ19" i="5"/>
  <c r="AZ20" i="5"/>
  <c r="AZ21" i="5"/>
  <c r="AZ9" i="5"/>
  <c r="AZ10" i="5"/>
  <c r="O4" i="54" l="1"/>
  <c r="AZ8" i="5" l="1"/>
  <c r="G40" i="54" l="1"/>
  <c r="N68" i="54" l="1"/>
  <c r="H28" i="54"/>
  <c r="H26" i="54"/>
  <c r="H24" i="54"/>
  <c r="H22" i="54"/>
  <c r="H20" i="54"/>
  <c r="G26" i="54"/>
  <c r="G24" i="54"/>
  <c r="G22" i="54"/>
  <c r="G20" i="54"/>
  <c r="F36" i="54"/>
  <c r="H37" i="54" s="1"/>
  <c r="F44" i="54"/>
  <c r="G65" i="54"/>
  <c r="N65" i="54" s="1"/>
  <c r="J68" i="54" s="1"/>
  <c r="I35" i="54"/>
  <c r="F35" i="54"/>
  <c r="I34" i="54"/>
  <c r="K34" i="54" s="1"/>
  <c r="F37" i="54" s="1"/>
  <c r="F34" i="54"/>
  <c r="E37" i="54" s="1"/>
  <c r="I28" i="54"/>
  <c r="G28" i="54"/>
  <c r="I26" i="54"/>
  <c r="I24" i="54"/>
  <c r="I22" i="54"/>
  <c r="I20" i="54"/>
  <c r="I18" i="54"/>
  <c r="F14" i="54"/>
  <c r="E44" i="54" s="1"/>
  <c r="I13" i="54"/>
  <c r="F13" i="54"/>
  <c r="I12" i="54"/>
  <c r="F12" i="54"/>
  <c r="J20" i="54" s="1"/>
  <c r="F11" i="54"/>
  <c r="I49" i="54" s="1"/>
  <c r="L10" i="54"/>
  <c r="H49" i="54" s="1"/>
  <c r="F53" i="54" s="1"/>
  <c r="I10" i="54"/>
  <c r="H50" i="54" s="1"/>
  <c r="F10" i="54"/>
  <c r="H48" i="54" s="1"/>
  <c r="I9" i="54"/>
  <c r="F9" i="54"/>
  <c r="F8" i="54"/>
  <c r="L7" i="54"/>
  <c r="F20" i="54" s="1"/>
  <c r="I7" i="54"/>
  <c r="E26" i="54" s="1"/>
  <c r="F7" i="54"/>
  <c r="E28" i="54" s="1"/>
  <c r="L6" i="54"/>
  <c r="F40" i="54" s="1"/>
  <c r="O6" i="54"/>
  <c r="H40" i="54" s="1"/>
  <c r="I6" i="54"/>
  <c r="F6" i="54"/>
  <c r="L5" i="54"/>
  <c r="I5" i="54"/>
  <c r="F5" i="54"/>
  <c r="E2" i="54"/>
  <c r="K61" i="54"/>
  <c r="K60" i="54"/>
  <c r="I47" i="54"/>
  <c r="G47" i="54"/>
  <c r="F47" i="54"/>
  <c r="E47" i="54"/>
  <c r="H44" i="54"/>
  <c r="G44" i="54"/>
  <c r="D28" i="54"/>
  <c r="D26" i="54"/>
  <c r="D24" i="54"/>
  <c r="D18" i="54"/>
  <c r="J17" i="54"/>
  <c r="I17" i="54"/>
  <c r="L4" i="54"/>
  <c r="I4" i="54"/>
  <c r="F4" i="54"/>
  <c r="N44" i="54" l="1"/>
  <c r="G68" i="54" s="1"/>
  <c r="D29" i="54"/>
  <c r="D25" i="54"/>
  <c r="D27" i="54"/>
  <c r="D21" i="54"/>
  <c r="G37" i="54"/>
  <c r="L37" i="54" s="1"/>
  <c r="E40" i="54" s="1"/>
  <c r="N40" i="54" s="1"/>
  <c r="D23" i="54"/>
  <c r="E49" i="54"/>
  <c r="M49" i="54" s="1"/>
  <c r="F48" i="54"/>
  <c r="E48" i="54"/>
  <c r="F50" i="54"/>
  <c r="G50" i="54"/>
  <c r="G48" i="54"/>
  <c r="E50" i="54"/>
  <c r="M50" i="54" s="1"/>
  <c r="N61" i="54"/>
  <c r="I68" i="54" s="1"/>
  <c r="F26" i="54"/>
  <c r="J22" i="54"/>
  <c r="F18" i="54"/>
  <c r="F28" i="54"/>
  <c r="I50" i="54"/>
  <c r="M20" i="54"/>
  <c r="E24" i="54"/>
  <c r="F24" i="54"/>
  <c r="J26" i="54"/>
  <c r="F22" i="54"/>
  <c r="J24" i="54"/>
  <c r="J18" i="54"/>
  <c r="E18" i="54"/>
  <c r="I48" i="54"/>
  <c r="J28" i="54"/>
  <c r="M48" i="54" l="1"/>
  <c r="G53" i="54"/>
  <c r="E53" i="54"/>
  <c r="F68" i="54"/>
  <c r="M26" i="54"/>
  <c r="M22" i="54"/>
  <c r="M24" i="54"/>
  <c r="M28" i="54"/>
  <c r="M18" i="54"/>
  <c r="M53" i="54" l="1"/>
  <c r="M54" i="54" s="1"/>
  <c r="N30" i="54"/>
  <c r="E68" i="54" s="1"/>
  <c r="N51" i="54"/>
  <c r="H68" i="54" s="1"/>
  <c r="P68" i="54" l="1"/>
  <c r="O69" i="5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7829E9-C191-4AF8-ABF4-FD4388E6416A}" keepAlive="1" name="クエリ - 機器リスト" description="ブック内の '機器リスト' クエリへの接続です。" type="5" refreshedVersion="0" background="1">
    <dbPr connection="Provider=Microsoft.Mashup.OleDb.1;Data Source=$Workbook$;Location=機器リスト;Extended Properties=&quot;&quot;" command="SELECT * FROM [機器リスト]"/>
  </connection>
</connections>
</file>

<file path=xl/sharedStrings.xml><?xml version="1.0" encoding="utf-8"?>
<sst xmlns="http://schemas.openxmlformats.org/spreadsheetml/2006/main" count="910" uniqueCount="586">
  <si>
    <t>面積</t>
    <rPh sb="0" eb="2">
      <t>メンセキ</t>
    </rPh>
    <phoneticPr fontId="4"/>
  </si>
  <si>
    <t>室　名</t>
    <rPh sb="0" eb="1">
      <t>シツ</t>
    </rPh>
    <rPh sb="2" eb="3">
      <t>メイ</t>
    </rPh>
    <phoneticPr fontId="4"/>
  </si>
  <si>
    <t>用途</t>
    <rPh sb="0" eb="2">
      <t>ヨウト</t>
    </rPh>
    <phoneticPr fontId="4"/>
  </si>
  <si>
    <t>天井</t>
    <rPh sb="0" eb="2">
      <t>テンジョウ</t>
    </rPh>
    <phoneticPr fontId="4"/>
  </si>
  <si>
    <t>入庫品</t>
    <rPh sb="0" eb="2">
      <t>ニュウコ</t>
    </rPh>
    <rPh sb="2" eb="3">
      <t>ヒン</t>
    </rPh>
    <phoneticPr fontId="4"/>
  </si>
  <si>
    <t>入温度</t>
    <rPh sb="0" eb="1">
      <t>イリ</t>
    </rPh>
    <rPh sb="1" eb="2">
      <t>アツシ</t>
    </rPh>
    <rPh sb="2" eb="3">
      <t>ド</t>
    </rPh>
    <phoneticPr fontId="4"/>
  </si>
  <si>
    <t>比熱</t>
    <rPh sb="0" eb="2">
      <t>ヒネツ</t>
    </rPh>
    <phoneticPr fontId="4"/>
  </si>
  <si>
    <t>入庫量</t>
    <rPh sb="0" eb="2">
      <t>ニュウコ</t>
    </rPh>
    <rPh sb="2" eb="3">
      <t>リョウ</t>
    </rPh>
    <phoneticPr fontId="4"/>
  </si>
  <si>
    <t>冷却時間</t>
    <rPh sb="0" eb="2">
      <t>レイキャク</t>
    </rPh>
    <rPh sb="2" eb="4">
      <t>ジカン</t>
    </rPh>
    <phoneticPr fontId="4"/>
  </si>
  <si>
    <t>床</t>
    <rPh sb="0" eb="1">
      <t>ユカ</t>
    </rPh>
    <phoneticPr fontId="4"/>
  </si>
  <si>
    <t>壁</t>
    <rPh sb="0" eb="1">
      <t>カベ</t>
    </rPh>
    <phoneticPr fontId="4"/>
  </si>
  <si>
    <t>h</t>
    <phoneticPr fontId="4"/>
  </si>
  <si>
    <t>℃</t>
    <phoneticPr fontId="4"/>
  </si>
  <si>
    <t>mm</t>
    <phoneticPr fontId="4"/>
  </si>
  <si>
    <t>終温度</t>
    <rPh sb="0" eb="1">
      <t>セキ</t>
    </rPh>
    <rPh sb="1" eb="2">
      <t>アツシ</t>
    </rPh>
    <rPh sb="2" eb="3">
      <t>ド</t>
    </rPh>
    <phoneticPr fontId="4"/>
  </si>
  <si>
    <t>開口W</t>
    <rPh sb="0" eb="2">
      <t>カイコウ</t>
    </rPh>
    <phoneticPr fontId="4"/>
  </si>
  <si>
    <t>開口H</t>
    <rPh sb="0" eb="2">
      <t>カイコウ</t>
    </rPh>
    <phoneticPr fontId="4"/>
  </si>
  <si>
    <t>開閉回数</t>
    <rPh sb="0" eb="2">
      <t>カイヘイ</t>
    </rPh>
    <rPh sb="2" eb="4">
      <t>カイスウ</t>
    </rPh>
    <phoneticPr fontId="4"/>
  </si>
  <si>
    <t>回/h</t>
    <rPh sb="0" eb="1">
      <t>カイ</t>
    </rPh>
    <phoneticPr fontId="4"/>
  </si>
  <si>
    <t>開閉時間</t>
    <rPh sb="0" eb="2">
      <t>カイヘイ</t>
    </rPh>
    <rPh sb="2" eb="4">
      <t>ジカン</t>
    </rPh>
    <phoneticPr fontId="4"/>
  </si>
  <si>
    <t>秒</t>
    <rPh sb="0" eb="1">
      <t>ビョウ</t>
    </rPh>
    <phoneticPr fontId="4"/>
  </si>
  <si>
    <t>温度</t>
    <rPh sb="0" eb="2">
      <t>オンド</t>
    </rPh>
    <phoneticPr fontId="4"/>
  </si>
  <si>
    <t>湿度</t>
    <rPh sb="0" eb="2">
      <t>シツド</t>
    </rPh>
    <phoneticPr fontId="4"/>
  </si>
  <si>
    <t>KJ/kg</t>
    <phoneticPr fontId="4"/>
  </si>
  <si>
    <t>扉仕様</t>
  </si>
  <si>
    <t>室内条件</t>
    <rPh sb="0" eb="2">
      <t>シツナイ</t>
    </rPh>
    <rPh sb="2" eb="4">
      <t>ジョウケン</t>
    </rPh>
    <phoneticPr fontId="4"/>
  </si>
  <si>
    <t>給気量</t>
    <rPh sb="0" eb="1">
      <t>キュウ</t>
    </rPh>
    <rPh sb="1" eb="2">
      <t>キ</t>
    </rPh>
    <rPh sb="2" eb="3">
      <t>リョウ</t>
    </rPh>
    <phoneticPr fontId="4"/>
  </si>
  <si>
    <t>安全率</t>
    <rPh sb="0" eb="2">
      <t>アンゼン</t>
    </rPh>
    <rPh sb="2" eb="3">
      <t>リツ</t>
    </rPh>
    <phoneticPr fontId="4"/>
  </si>
  <si>
    <t>kg/日or回</t>
    <rPh sb="3" eb="4">
      <t>ヒ</t>
    </rPh>
    <rPh sb="6" eb="7">
      <t>カイ</t>
    </rPh>
    <phoneticPr fontId="4"/>
  </si>
  <si>
    <t>室寸法</t>
    <rPh sb="0" eb="1">
      <t>シツ</t>
    </rPh>
    <rPh sb="1" eb="3">
      <t>スンポウ</t>
    </rPh>
    <phoneticPr fontId="4"/>
  </si>
  <si>
    <t>横</t>
    <rPh sb="0" eb="1">
      <t>ヨコ</t>
    </rPh>
    <phoneticPr fontId="4"/>
  </si>
  <si>
    <t>縦</t>
    <rPh sb="0" eb="1">
      <t>タテ</t>
    </rPh>
    <phoneticPr fontId="4"/>
  </si>
  <si>
    <t>高さ</t>
    <rPh sb="0" eb="1">
      <t>タカ</t>
    </rPh>
    <phoneticPr fontId="4"/>
  </si>
  <si>
    <t>速度</t>
    <rPh sb="0" eb="2">
      <t>ソクド</t>
    </rPh>
    <phoneticPr fontId="4"/>
  </si>
  <si>
    <t>部屋名</t>
    <rPh sb="0" eb="2">
      <t>ヘヤ</t>
    </rPh>
    <rPh sb="2" eb="3">
      <t>メイ</t>
    </rPh>
    <phoneticPr fontId="4"/>
  </si>
  <si>
    <t>設計条件</t>
    <rPh sb="0" eb="2">
      <t>セッケイ</t>
    </rPh>
    <rPh sb="2" eb="4">
      <t>ジョウケン</t>
    </rPh>
    <phoneticPr fontId="4"/>
  </si>
  <si>
    <t>外気温度</t>
    <rPh sb="0" eb="2">
      <t>ガイキ</t>
    </rPh>
    <rPh sb="2" eb="4">
      <t>オンド</t>
    </rPh>
    <phoneticPr fontId="4"/>
  </si>
  <si>
    <t>相対湿度</t>
    <rPh sb="0" eb="2">
      <t>ソウタイ</t>
    </rPh>
    <rPh sb="2" eb="4">
      <t>シツド</t>
    </rPh>
    <phoneticPr fontId="4"/>
  </si>
  <si>
    <t>比エンタルピ</t>
    <rPh sb="0" eb="1">
      <t>ヒ</t>
    </rPh>
    <phoneticPr fontId="4"/>
  </si>
  <si>
    <t>比重</t>
    <rPh sb="0" eb="2">
      <t>ヒジュウ</t>
    </rPh>
    <phoneticPr fontId="4"/>
  </si>
  <si>
    <t>庫外温度</t>
    <rPh sb="0" eb="1">
      <t>コ</t>
    </rPh>
    <rPh sb="1" eb="2">
      <t>ガイ</t>
    </rPh>
    <rPh sb="2" eb="4">
      <t>オンド</t>
    </rPh>
    <phoneticPr fontId="4"/>
  </si>
  <si>
    <t>天井上</t>
    <rPh sb="0" eb="2">
      <t>テンジョウ</t>
    </rPh>
    <rPh sb="2" eb="3">
      <t>ウエ</t>
    </rPh>
    <phoneticPr fontId="4"/>
  </si>
  <si>
    <t>温度 T1</t>
    <rPh sb="0" eb="2">
      <t>オンド</t>
    </rPh>
    <phoneticPr fontId="4"/>
  </si>
  <si>
    <t>部屋寸法</t>
    <rPh sb="0" eb="2">
      <t>ヘヤ</t>
    </rPh>
    <rPh sb="2" eb="4">
      <t>スンポウ</t>
    </rPh>
    <phoneticPr fontId="4"/>
  </si>
  <si>
    <t>W</t>
    <phoneticPr fontId="4"/>
  </si>
  <si>
    <t>L</t>
    <phoneticPr fontId="4"/>
  </si>
  <si>
    <t>H</t>
    <phoneticPr fontId="4"/>
  </si>
  <si>
    <t>※給気温度</t>
    <rPh sb="1" eb="3">
      <t>キュウキ</t>
    </rPh>
    <rPh sb="3" eb="5">
      <t>オンド</t>
    </rPh>
    <phoneticPr fontId="4"/>
  </si>
  <si>
    <t>給気量</t>
    <rPh sb="0" eb="2">
      <t>キュウキ</t>
    </rPh>
    <rPh sb="2" eb="3">
      <t>リョウ</t>
    </rPh>
    <phoneticPr fontId="4"/>
  </si>
  <si>
    <t>※給気量</t>
    <rPh sb="1" eb="3">
      <t>キュウキ</t>
    </rPh>
    <rPh sb="3" eb="4">
      <t>リョウ</t>
    </rPh>
    <phoneticPr fontId="4"/>
  </si>
  <si>
    <t>㎥/s</t>
    <phoneticPr fontId="4"/>
  </si>
  <si>
    <t>侵入熱</t>
    <rPh sb="0" eb="2">
      <t>シンニュウ</t>
    </rPh>
    <rPh sb="2" eb="3">
      <t>ネツ</t>
    </rPh>
    <phoneticPr fontId="4"/>
  </si>
  <si>
    <t>　面積×(建材熱伝導率/建材厚み)×(室外温度-室内温度) = 侵入熱量</t>
    <rPh sb="1" eb="3">
      <t>メンセキ</t>
    </rPh>
    <rPh sb="5" eb="7">
      <t>ケンザイ</t>
    </rPh>
    <rPh sb="7" eb="8">
      <t>ネツ</t>
    </rPh>
    <rPh sb="8" eb="10">
      <t>デンドウ</t>
    </rPh>
    <rPh sb="10" eb="11">
      <t>リツ</t>
    </rPh>
    <rPh sb="12" eb="14">
      <t>ケンザイ</t>
    </rPh>
    <rPh sb="14" eb="15">
      <t>アツ</t>
    </rPh>
    <rPh sb="19" eb="20">
      <t>シツ</t>
    </rPh>
    <rPh sb="20" eb="21">
      <t>ガイ</t>
    </rPh>
    <rPh sb="21" eb="23">
      <t>オンド</t>
    </rPh>
    <rPh sb="24" eb="25">
      <t>シツ</t>
    </rPh>
    <rPh sb="25" eb="26">
      <t>ナイ</t>
    </rPh>
    <rPh sb="26" eb="28">
      <t>オンド</t>
    </rPh>
    <rPh sb="32" eb="34">
      <t>シンニュウ</t>
    </rPh>
    <rPh sb="34" eb="36">
      <t>ネツリョウ</t>
    </rPh>
    <phoneticPr fontId="4"/>
  </si>
  <si>
    <t>L or H</t>
    <phoneticPr fontId="4"/>
  </si>
  <si>
    <t>熱伝導率</t>
    <rPh sb="0" eb="1">
      <t>ネツ</t>
    </rPh>
    <rPh sb="1" eb="3">
      <t>デンドウ</t>
    </rPh>
    <rPh sb="3" eb="4">
      <t>リツ</t>
    </rPh>
    <phoneticPr fontId="4"/>
  </si>
  <si>
    <t>建材厚</t>
    <rPh sb="0" eb="2">
      <t>ケンザイ</t>
    </rPh>
    <rPh sb="2" eb="3">
      <t>アツ</t>
    </rPh>
    <phoneticPr fontId="4"/>
  </si>
  <si>
    <t>=</t>
    <phoneticPr fontId="4"/>
  </si>
  <si>
    <t>A</t>
    <phoneticPr fontId="4"/>
  </si>
  <si>
    <t>庫外空気侵入熱</t>
    <rPh sb="0" eb="1">
      <t>コ</t>
    </rPh>
    <rPh sb="1" eb="2">
      <t>ガイ</t>
    </rPh>
    <rPh sb="2" eb="4">
      <t>クウキ</t>
    </rPh>
    <rPh sb="4" eb="6">
      <t>シンニュウ</t>
    </rPh>
    <rPh sb="6" eb="7">
      <t>ネツ</t>
    </rPh>
    <phoneticPr fontId="4"/>
  </si>
  <si>
    <t>扉開閉</t>
    <rPh sb="0" eb="1">
      <t>トビラ</t>
    </rPh>
    <rPh sb="1" eb="3">
      <t>カイヘイ</t>
    </rPh>
    <phoneticPr fontId="4"/>
  </si>
  <si>
    <t>回数</t>
    <rPh sb="0" eb="2">
      <t>カイスウ</t>
    </rPh>
    <phoneticPr fontId="4"/>
  </si>
  <si>
    <t>開放時間</t>
    <rPh sb="0" eb="2">
      <t>カイホウ</t>
    </rPh>
    <rPh sb="2" eb="4">
      <t>ジカン</t>
    </rPh>
    <phoneticPr fontId="4"/>
  </si>
  <si>
    <t>秒/回</t>
    <rPh sb="0" eb="1">
      <t>ビョウ</t>
    </rPh>
    <rPh sb="2" eb="3">
      <t>カイ</t>
    </rPh>
    <phoneticPr fontId="4"/>
  </si>
  <si>
    <t>時/回</t>
    <rPh sb="0" eb="1">
      <t>ジ</t>
    </rPh>
    <rPh sb="2" eb="3">
      <t>カイ</t>
    </rPh>
    <phoneticPr fontId="4"/>
  </si>
  <si>
    <t>扉開口</t>
    <rPh sb="0" eb="1">
      <t>トビラ</t>
    </rPh>
    <rPh sb="1" eb="3">
      <t>カイコウ</t>
    </rPh>
    <phoneticPr fontId="4"/>
  </si>
  <si>
    <t>幅寸法</t>
    <rPh sb="0" eb="1">
      <t>ハバ</t>
    </rPh>
    <rPh sb="1" eb="3">
      <t>スンポウ</t>
    </rPh>
    <phoneticPr fontId="4"/>
  </si>
  <si>
    <t>高さ寸法</t>
    <rPh sb="0" eb="1">
      <t>タカ</t>
    </rPh>
    <rPh sb="2" eb="4">
      <t>スンポウ</t>
    </rPh>
    <phoneticPr fontId="4"/>
  </si>
  <si>
    <t>通過風速</t>
    <rPh sb="0" eb="2">
      <t>ツウカ</t>
    </rPh>
    <rPh sb="2" eb="4">
      <t>フウソク</t>
    </rPh>
    <phoneticPr fontId="4"/>
  </si>
  <si>
    <t>m/秒</t>
    <rPh sb="2" eb="3">
      <t>ビョウ</t>
    </rPh>
    <phoneticPr fontId="4"/>
  </si>
  <si>
    <t>　風量×(侵入空気エンタルピー室内空気エンタルピ)×比重 = 侵入熱量</t>
    <rPh sb="1" eb="3">
      <t>フウリョウ</t>
    </rPh>
    <rPh sb="5" eb="7">
      <t>シンニュウ</t>
    </rPh>
    <rPh sb="7" eb="9">
      <t>クウキ</t>
    </rPh>
    <rPh sb="15" eb="17">
      <t>シツナイ</t>
    </rPh>
    <rPh sb="17" eb="19">
      <t>クウキ</t>
    </rPh>
    <rPh sb="26" eb="28">
      <t>ヒジュウ</t>
    </rPh>
    <rPh sb="31" eb="33">
      <t>シンニュウ</t>
    </rPh>
    <rPh sb="33" eb="35">
      <t>ネツリョウ</t>
    </rPh>
    <phoneticPr fontId="4"/>
  </si>
  <si>
    <t>風量</t>
    <rPh sb="0" eb="2">
      <t>フウリョウ</t>
    </rPh>
    <phoneticPr fontId="4"/>
  </si>
  <si>
    <t>給気熱量</t>
    <rPh sb="0" eb="1">
      <t>キュウ</t>
    </rPh>
    <rPh sb="1" eb="2">
      <t>キ</t>
    </rPh>
    <rPh sb="2" eb="4">
      <t>ネツリョウ</t>
    </rPh>
    <phoneticPr fontId="4"/>
  </si>
  <si>
    <t>　風量×(導入空気エンタルピー室内空気エンタルピ)×比重 = 給気熱量</t>
    <rPh sb="1" eb="3">
      <t>フウリョウ</t>
    </rPh>
    <rPh sb="5" eb="7">
      <t>ドウニュウ</t>
    </rPh>
    <rPh sb="7" eb="9">
      <t>クウキ</t>
    </rPh>
    <rPh sb="15" eb="17">
      <t>シツナイ</t>
    </rPh>
    <rPh sb="17" eb="19">
      <t>クウキ</t>
    </rPh>
    <rPh sb="26" eb="28">
      <t>ヒジュウ</t>
    </rPh>
    <rPh sb="31" eb="32">
      <t>キュウ</t>
    </rPh>
    <rPh sb="32" eb="33">
      <t>キ</t>
    </rPh>
    <rPh sb="33" eb="35">
      <t>ネツリョウ</t>
    </rPh>
    <phoneticPr fontId="4"/>
  </si>
  <si>
    <t>エンタルピ</t>
    <phoneticPr fontId="4"/>
  </si>
  <si>
    <t>製品冷却熱</t>
    <rPh sb="0" eb="2">
      <t>セイヒン</t>
    </rPh>
    <rPh sb="2" eb="4">
      <t>レイキャク</t>
    </rPh>
    <rPh sb="4" eb="5">
      <t>ネツ</t>
    </rPh>
    <phoneticPr fontId="4"/>
  </si>
  <si>
    <t>機器発生熱</t>
    <rPh sb="0" eb="2">
      <t>キキ</t>
    </rPh>
    <rPh sb="2" eb="4">
      <t>ハッセイ</t>
    </rPh>
    <rPh sb="4" eb="5">
      <t>ネツ</t>
    </rPh>
    <phoneticPr fontId="4"/>
  </si>
  <si>
    <t>名　称</t>
    <rPh sb="0" eb="1">
      <t>ナ</t>
    </rPh>
    <rPh sb="2" eb="3">
      <t>ショウ</t>
    </rPh>
    <phoneticPr fontId="4"/>
  </si>
  <si>
    <t>容量</t>
    <rPh sb="0" eb="2">
      <t>ヨウリョウ</t>
    </rPh>
    <phoneticPr fontId="4"/>
  </si>
  <si>
    <t>数量</t>
    <rPh sb="0" eb="2">
      <t>スウリョウ</t>
    </rPh>
    <phoneticPr fontId="4"/>
  </si>
  <si>
    <t>稼動率</t>
    <rPh sb="0" eb="2">
      <t>カドウ</t>
    </rPh>
    <rPh sb="2" eb="3">
      <t>リツ</t>
    </rPh>
    <phoneticPr fontId="4"/>
  </si>
  <si>
    <t>照明</t>
    <rPh sb="0" eb="2">
      <t>ショウメイ</t>
    </rPh>
    <phoneticPr fontId="4"/>
  </si>
  <si>
    <t>*</t>
    <phoneticPr fontId="4"/>
  </si>
  <si>
    <t>リフト</t>
    <phoneticPr fontId="4"/>
  </si>
  <si>
    <t>人体発生熱</t>
    <rPh sb="0" eb="2">
      <t>ジンタイ</t>
    </rPh>
    <rPh sb="2" eb="4">
      <t>ハッセイ</t>
    </rPh>
    <rPh sb="4" eb="5">
      <t>ネツ</t>
    </rPh>
    <phoneticPr fontId="4"/>
  </si>
  <si>
    <t>熱量</t>
    <rPh sb="0" eb="2">
      <t>ネツリョウ</t>
    </rPh>
    <phoneticPr fontId="4"/>
  </si>
  <si>
    <t>人数</t>
    <rPh sb="0" eb="2">
      <t>ニンズウ</t>
    </rPh>
    <phoneticPr fontId="4"/>
  </si>
  <si>
    <t>潜熱</t>
    <rPh sb="0" eb="1">
      <t>ヒソ</t>
    </rPh>
    <rPh sb="1" eb="2">
      <t>ネツ</t>
    </rPh>
    <phoneticPr fontId="4"/>
  </si>
  <si>
    <t>全熱量</t>
    <rPh sb="0" eb="1">
      <t>ゼン</t>
    </rPh>
    <rPh sb="1" eb="3">
      <t>ネツリョウ</t>
    </rPh>
    <phoneticPr fontId="4"/>
  </si>
  <si>
    <t>F</t>
    <phoneticPr fontId="4"/>
  </si>
  <si>
    <t>熱量合計</t>
    <rPh sb="0" eb="2">
      <t>ネツリョウ</t>
    </rPh>
    <rPh sb="2" eb="4">
      <t>ゴウケイ</t>
    </rPh>
    <phoneticPr fontId="4"/>
  </si>
  <si>
    <t>B</t>
    <phoneticPr fontId="4"/>
  </si>
  <si>
    <t>C</t>
    <phoneticPr fontId="4"/>
  </si>
  <si>
    <t>D</t>
    <phoneticPr fontId="4"/>
  </si>
  <si>
    <t>E</t>
    <phoneticPr fontId="4"/>
  </si>
  <si>
    <t>外気条件</t>
    <rPh sb="0" eb="2">
      <t>ガイキ</t>
    </rPh>
    <rPh sb="2" eb="4">
      <t>ジョウケン</t>
    </rPh>
    <phoneticPr fontId="4"/>
  </si>
  <si>
    <t>℃</t>
    <phoneticPr fontId="4"/>
  </si>
  <si>
    <t>%</t>
    <phoneticPr fontId="4"/>
  </si>
  <si>
    <t>kg/㎥</t>
    <phoneticPr fontId="4"/>
  </si>
  <si>
    <t>凍結前</t>
    <rPh sb="0" eb="2">
      <t>トウケツ</t>
    </rPh>
    <rPh sb="2" eb="3">
      <t>マエ</t>
    </rPh>
    <phoneticPr fontId="4"/>
  </si>
  <si>
    <t>凍結後</t>
    <rPh sb="0" eb="2">
      <t>トウケツ</t>
    </rPh>
    <rPh sb="2" eb="3">
      <t>ゴ</t>
    </rPh>
    <phoneticPr fontId="4"/>
  </si>
  <si>
    <t xml:space="preserve">入温度 </t>
    <rPh sb="0" eb="1">
      <t>イ</t>
    </rPh>
    <rPh sb="1" eb="3">
      <t>オンド</t>
    </rPh>
    <phoneticPr fontId="4"/>
  </si>
  <si>
    <t>終温度</t>
    <rPh sb="0" eb="1">
      <t>シュウ</t>
    </rPh>
    <rPh sb="1" eb="3">
      <t>オンド</t>
    </rPh>
    <phoneticPr fontId="4"/>
  </si>
  <si>
    <t>凍結前比熱</t>
    <rPh sb="0" eb="2">
      <t>トウケツ</t>
    </rPh>
    <rPh sb="2" eb="3">
      <t>マエ</t>
    </rPh>
    <rPh sb="3" eb="5">
      <t>ヒネツ</t>
    </rPh>
    <phoneticPr fontId="4"/>
  </si>
  <si>
    <t>凍結後比熱</t>
    <rPh sb="0" eb="2">
      <t>トウケツ</t>
    </rPh>
    <rPh sb="2" eb="3">
      <t>アト</t>
    </rPh>
    <rPh sb="3" eb="5">
      <t>ヒネツ</t>
    </rPh>
    <phoneticPr fontId="4"/>
  </si>
  <si>
    <t>温度条件</t>
    <rPh sb="0" eb="2">
      <t>オンド</t>
    </rPh>
    <rPh sb="2" eb="4">
      <t>ジョウケン</t>
    </rPh>
    <phoneticPr fontId="4"/>
  </si>
  <si>
    <t>物性値</t>
    <rPh sb="0" eb="2">
      <t>ブッセイ</t>
    </rPh>
    <rPh sb="2" eb="3">
      <t>アタイ</t>
    </rPh>
    <phoneticPr fontId="4"/>
  </si>
  <si>
    <t>潜熱</t>
    <rPh sb="0" eb="1">
      <t>ヒソカ</t>
    </rPh>
    <rPh sb="1" eb="2">
      <t>ネツ</t>
    </rPh>
    <phoneticPr fontId="4"/>
  </si>
  <si>
    <t>凍結潜熱</t>
    <rPh sb="0" eb="2">
      <t>トウケツ</t>
    </rPh>
    <rPh sb="2" eb="3">
      <t>ヒソ</t>
    </rPh>
    <rPh sb="3" eb="4">
      <t>ネツ</t>
    </rPh>
    <phoneticPr fontId="4"/>
  </si>
  <si>
    <t>扉からの侵入空気状態</t>
    <rPh sb="0" eb="1">
      <t>トビラ</t>
    </rPh>
    <rPh sb="4" eb="6">
      <t>シンニュウ</t>
    </rPh>
    <rPh sb="6" eb="8">
      <t>クウキ</t>
    </rPh>
    <rPh sb="8" eb="10">
      <t>ジョウタイ</t>
    </rPh>
    <phoneticPr fontId="4"/>
  </si>
  <si>
    <t>侵入空気物性値</t>
    <rPh sb="0" eb="2">
      <t>シンニュウ</t>
    </rPh>
    <rPh sb="2" eb="4">
      <t>クウキ</t>
    </rPh>
    <rPh sb="4" eb="6">
      <t>ブッセイ</t>
    </rPh>
    <rPh sb="6" eb="7">
      <t>アタイ</t>
    </rPh>
    <phoneticPr fontId="4"/>
  </si>
  <si>
    <t>KJ/kg・K</t>
    <phoneticPr fontId="4"/>
  </si>
  <si>
    <t>T2</t>
    <phoneticPr fontId="4"/>
  </si>
  <si>
    <t>KJ/kg</t>
    <phoneticPr fontId="4"/>
  </si>
  <si>
    <t>　入庫量×(入庫温度-部屋温度)×入庫品比熱 ×(1/冷却時間)[KW]</t>
    <rPh sb="1" eb="3">
      <t>ニュウコ</t>
    </rPh>
    <rPh sb="3" eb="4">
      <t>リョウ</t>
    </rPh>
    <rPh sb="6" eb="8">
      <t>ニュウコ</t>
    </rPh>
    <rPh sb="8" eb="10">
      <t>オンド</t>
    </rPh>
    <rPh sb="11" eb="13">
      <t>ヘヤ</t>
    </rPh>
    <rPh sb="13" eb="15">
      <t>オンド</t>
    </rPh>
    <rPh sb="17" eb="19">
      <t>ニュウコ</t>
    </rPh>
    <rPh sb="19" eb="20">
      <t>シナ</t>
    </rPh>
    <rPh sb="20" eb="22">
      <t>ヒネツ</t>
    </rPh>
    <rPh sb="27" eb="29">
      <t>レイキャク</t>
    </rPh>
    <rPh sb="29" eb="31">
      <t>ジカン</t>
    </rPh>
    <phoneticPr fontId="4"/>
  </si>
  <si>
    <t>人数</t>
    <rPh sb="0" eb="1">
      <t>ヒト</t>
    </rPh>
    <rPh sb="1" eb="2">
      <t>スウ</t>
    </rPh>
    <phoneticPr fontId="4"/>
  </si>
  <si>
    <t>換気回</t>
    <rPh sb="0" eb="2">
      <t>カンキ</t>
    </rPh>
    <rPh sb="2" eb="3">
      <t>カイ</t>
    </rPh>
    <phoneticPr fontId="4"/>
  </si>
  <si>
    <t>回/㎥h</t>
    <rPh sb="0" eb="1">
      <t>カイ</t>
    </rPh>
    <phoneticPr fontId="4"/>
  </si>
  <si>
    <t>※換気条件</t>
    <rPh sb="1" eb="3">
      <t>カンキ</t>
    </rPh>
    <rPh sb="3" eb="5">
      <t>ジョウケン</t>
    </rPh>
    <phoneticPr fontId="4"/>
  </si>
  <si>
    <t>㎥/h</t>
    <phoneticPr fontId="4"/>
  </si>
  <si>
    <t>エンタルピ</t>
    <phoneticPr fontId="4"/>
  </si>
  <si>
    <t>℃</t>
    <phoneticPr fontId="4"/>
  </si>
  <si>
    <t>%</t>
    <phoneticPr fontId="4"/>
  </si>
  <si>
    <t>m</t>
    <phoneticPr fontId="4"/>
  </si>
  <si>
    <t>㎡</t>
    <phoneticPr fontId="4"/>
  </si>
  <si>
    <t>W/mK</t>
    <phoneticPr fontId="4"/>
  </si>
  <si>
    <t>m</t>
    <phoneticPr fontId="4"/>
  </si>
  <si>
    <t>m/s</t>
    <phoneticPr fontId="4"/>
  </si>
  <si>
    <t>℃</t>
    <phoneticPr fontId="4"/>
  </si>
  <si>
    <t>%</t>
    <phoneticPr fontId="4"/>
  </si>
  <si>
    <t>kg/㎥</t>
    <phoneticPr fontId="4"/>
  </si>
  <si>
    <t>KJ/kg</t>
    <phoneticPr fontId="4"/>
  </si>
  <si>
    <t>㎥/h</t>
    <phoneticPr fontId="4"/>
  </si>
  <si>
    <t>℃</t>
    <phoneticPr fontId="4"/>
  </si>
  <si>
    <t>%</t>
    <phoneticPr fontId="4"/>
  </si>
  <si>
    <t>kg/㎥</t>
    <phoneticPr fontId="4"/>
  </si>
  <si>
    <t>KJ/kg</t>
    <phoneticPr fontId="4"/>
  </si>
  <si>
    <t>KW</t>
    <phoneticPr fontId="4"/>
  </si>
  <si>
    <t>容積</t>
    <rPh sb="0" eb="2">
      <t>ヨウセキ</t>
    </rPh>
    <phoneticPr fontId="4"/>
  </si>
  <si>
    <t>℃</t>
    <phoneticPr fontId="4"/>
  </si>
  <si>
    <t>庫内室温</t>
    <rPh sb="0" eb="1">
      <t>コ</t>
    </rPh>
    <rPh sb="1" eb="2">
      <t>ナイ</t>
    </rPh>
    <rPh sb="2" eb="4">
      <t>シツオン</t>
    </rPh>
    <phoneticPr fontId="4"/>
  </si>
  <si>
    <t>合計</t>
    <rPh sb="0" eb="2">
      <t>ゴウケイ</t>
    </rPh>
    <phoneticPr fontId="4"/>
  </si>
  <si>
    <t>Kcal/h/㎡</t>
    <phoneticPr fontId="4"/>
  </si>
  <si>
    <t>庫外温度</t>
    <rPh sb="0" eb="1">
      <t>コ</t>
    </rPh>
    <rPh sb="1" eb="2">
      <t>ソト</t>
    </rPh>
    <rPh sb="2" eb="4">
      <t>オンド</t>
    </rPh>
    <phoneticPr fontId="4"/>
  </si>
  <si>
    <t>Kg/日</t>
    <rPh sb="3" eb="4">
      <t>ニチ</t>
    </rPh>
    <phoneticPr fontId="4"/>
  </si>
  <si>
    <t>UC送風機</t>
    <phoneticPr fontId="4"/>
  </si>
  <si>
    <t>侵入空気量</t>
    <rPh sb="0" eb="2">
      <t>シンニュウ</t>
    </rPh>
    <rPh sb="2" eb="4">
      <t>クウキ</t>
    </rPh>
    <rPh sb="4" eb="5">
      <t>リョウ</t>
    </rPh>
    <phoneticPr fontId="4"/>
  </si>
  <si>
    <t>番号</t>
    <rPh sb="0" eb="2">
      <t>バンゴウ</t>
    </rPh>
    <phoneticPr fontId="4"/>
  </si>
  <si>
    <t>壁</t>
    <rPh sb="0" eb="1">
      <t>カベ</t>
    </rPh>
    <phoneticPr fontId="43"/>
  </si>
  <si>
    <t>天井</t>
    <rPh sb="0" eb="2">
      <t>テンジョウ</t>
    </rPh>
    <phoneticPr fontId="43"/>
  </si>
  <si>
    <t>床</t>
    <rPh sb="0" eb="1">
      <t>ユカ</t>
    </rPh>
    <phoneticPr fontId="43"/>
  </si>
  <si>
    <t>Kcal/h㎡</t>
    <phoneticPr fontId="4"/>
  </si>
  <si>
    <t>㎥</t>
    <phoneticPr fontId="4"/>
  </si>
  <si>
    <t>更新日：</t>
    <rPh sb="0" eb="3">
      <t>コウシンビ</t>
    </rPh>
    <phoneticPr fontId="43"/>
  </si>
  <si>
    <t>枚数</t>
    <rPh sb="0" eb="2">
      <t>マイスウ</t>
    </rPh>
    <phoneticPr fontId="4"/>
  </si>
  <si>
    <t>枚</t>
    <rPh sb="0" eb="1">
      <t>マイ</t>
    </rPh>
    <phoneticPr fontId="4"/>
  </si>
  <si>
    <t>断熱仕様</t>
    <rPh sb="0" eb="2">
      <t>ダンネツ</t>
    </rPh>
    <rPh sb="2" eb="4">
      <t>シヨウ</t>
    </rPh>
    <phoneticPr fontId="4"/>
  </si>
  <si>
    <t>断熱パネル 42mm</t>
    <rPh sb="0" eb="2">
      <t>ダンネツ</t>
    </rPh>
    <phoneticPr fontId="4"/>
  </si>
  <si>
    <t>ﾎﾟﾘｽﾁﾚﾝﾌｫｰﾑ 42mm</t>
    <phoneticPr fontId="4"/>
  </si>
  <si>
    <t>発泡ウレタン 42mm</t>
    <rPh sb="0" eb="2">
      <t>ハッポウ</t>
    </rPh>
    <phoneticPr fontId="4"/>
  </si>
  <si>
    <t>ｺﾝｸﾘｰﾄ 42㎜</t>
    <phoneticPr fontId="4"/>
  </si>
  <si>
    <t>断熱パネル 50mm</t>
    <rPh sb="0" eb="2">
      <t>ダンネツ</t>
    </rPh>
    <phoneticPr fontId="4"/>
  </si>
  <si>
    <t>ﾎﾟﾘｽﾁﾚﾝﾌｫｰﾑ 50mm</t>
    <phoneticPr fontId="4"/>
  </si>
  <si>
    <t>発泡ウレタン 50mm</t>
    <rPh sb="0" eb="2">
      <t>ハッポウ</t>
    </rPh>
    <phoneticPr fontId="4"/>
  </si>
  <si>
    <t>ｺﾝｸﾘｰﾄ 50㎜</t>
    <phoneticPr fontId="4"/>
  </si>
  <si>
    <t>断熱パネル 100mm</t>
    <rPh sb="0" eb="2">
      <t>ダンネツ</t>
    </rPh>
    <phoneticPr fontId="4"/>
  </si>
  <si>
    <t>ﾎﾟﾘｽﾁﾚﾝﾌｫｰﾑ 100mm</t>
    <phoneticPr fontId="4"/>
  </si>
  <si>
    <t>発泡ウレタン 100mm</t>
    <rPh sb="0" eb="2">
      <t>ハッポウ</t>
    </rPh>
    <phoneticPr fontId="4"/>
  </si>
  <si>
    <t>ｺﾝｸﾘｰﾄ 100㎜</t>
    <phoneticPr fontId="4"/>
  </si>
  <si>
    <t>断熱パネル 125mm</t>
    <rPh sb="0" eb="2">
      <t>ダンネツ</t>
    </rPh>
    <phoneticPr fontId="4"/>
  </si>
  <si>
    <t>ﾎﾟﾘｽﾁﾚﾝﾌｫｰﾑ 125mm</t>
    <phoneticPr fontId="4"/>
  </si>
  <si>
    <t>発泡ウレタン 125mm</t>
    <rPh sb="0" eb="2">
      <t>ハッポウ</t>
    </rPh>
    <phoneticPr fontId="4"/>
  </si>
  <si>
    <t>ｺﾝｸﾘｰﾄ 125㎜</t>
    <phoneticPr fontId="4"/>
  </si>
  <si>
    <t>断熱パネル 150mm</t>
    <rPh sb="0" eb="2">
      <t>ダンネツ</t>
    </rPh>
    <phoneticPr fontId="4"/>
  </si>
  <si>
    <t>ﾎﾟﾘｽﾁﾚﾝﾌｫｰﾑ 150mm</t>
    <phoneticPr fontId="4"/>
  </si>
  <si>
    <t>発泡ウレタン 150mm</t>
    <rPh sb="0" eb="2">
      <t>ハッポウ</t>
    </rPh>
    <phoneticPr fontId="4"/>
  </si>
  <si>
    <t>ｺﾝｸﾘｰﾄ 150㎜</t>
    <phoneticPr fontId="4"/>
  </si>
  <si>
    <t>断熱パネル 200mm</t>
    <rPh sb="0" eb="2">
      <t>ダンネツ</t>
    </rPh>
    <phoneticPr fontId="4"/>
  </si>
  <si>
    <t>ﾎﾟﾘｽﾁﾚﾝﾌｫｰﾑ 200mm</t>
    <phoneticPr fontId="4"/>
  </si>
  <si>
    <t>発泡ウレタン 200mm</t>
    <rPh sb="0" eb="2">
      <t>ハッポウ</t>
    </rPh>
    <phoneticPr fontId="4"/>
  </si>
  <si>
    <t>ｺﾝｸﾘｰﾄ 200㎜</t>
    <phoneticPr fontId="4"/>
  </si>
  <si>
    <t>防熱仕様</t>
    <rPh sb="0" eb="2">
      <t>ボウネツ</t>
    </rPh>
    <rPh sb="2" eb="4">
      <t>シヨウ</t>
    </rPh>
    <phoneticPr fontId="43"/>
  </si>
  <si>
    <t>余裕率</t>
    <rPh sb="0" eb="2">
      <t>ヨユウ</t>
    </rPh>
    <rPh sb="2" eb="3">
      <t>リツ</t>
    </rPh>
    <phoneticPr fontId="4"/>
  </si>
  <si>
    <t>補正</t>
    <rPh sb="0" eb="2">
      <t>ホセイ</t>
    </rPh>
    <phoneticPr fontId="4"/>
  </si>
  <si>
    <t>断熱パネル 75mm</t>
    <rPh sb="0" eb="2">
      <t>ダンネツ</t>
    </rPh>
    <phoneticPr fontId="4"/>
  </si>
  <si>
    <t>ﾎﾟﾘｽﾁﾚﾝﾌｫｰﾑ 75mm</t>
    <phoneticPr fontId="4"/>
  </si>
  <si>
    <t>発泡ウレタン 75mm</t>
    <rPh sb="0" eb="2">
      <t>ハッポウ</t>
    </rPh>
    <phoneticPr fontId="4"/>
  </si>
  <si>
    <t>ｺﾝｸﾘｰﾄ 75㎜</t>
    <phoneticPr fontId="4"/>
  </si>
  <si>
    <t>断熱パネル 185mm</t>
    <rPh sb="0" eb="2">
      <t>ダンネツ</t>
    </rPh>
    <phoneticPr fontId="4"/>
  </si>
  <si>
    <t>ﾎﾟﾘｽﾁﾚﾝﾌｫｰﾑ 185mm</t>
  </si>
  <si>
    <t>発泡ウレタン 185mm</t>
    <rPh sb="0" eb="2">
      <t>ハッポウ</t>
    </rPh>
    <phoneticPr fontId="4"/>
  </si>
  <si>
    <t>ｺﾝｸﾘｰﾄ 185㎜</t>
  </si>
  <si>
    <t>No.</t>
    <phoneticPr fontId="4"/>
  </si>
  <si>
    <t>名称</t>
    <rPh sb="0" eb="2">
      <t>メイショウ</t>
    </rPh>
    <phoneticPr fontId="4"/>
  </si>
  <si>
    <t>負荷計算熱量</t>
    <rPh sb="0" eb="2">
      <t>フカ</t>
    </rPh>
    <rPh sb="2" eb="4">
      <t>ケイサン</t>
    </rPh>
    <rPh sb="4" eb="6">
      <t>ネツリョウ</t>
    </rPh>
    <phoneticPr fontId="4"/>
  </si>
  <si>
    <t>㎥</t>
    <phoneticPr fontId="4"/>
  </si>
  <si>
    <t>kW</t>
    <phoneticPr fontId="4"/>
  </si>
  <si>
    <t>kcal/㎥h</t>
    <phoneticPr fontId="4"/>
  </si>
  <si>
    <t>外機名称</t>
    <rPh sb="0" eb="2">
      <t>ガイキ</t>
    </rPh>
    <rPh sb="2" eb="4">
      <t>メイショウ</t>
    </rPh>
    <phoneticPr fontId="4"/>
  </si>
  <si>
    <t>台数</t>
    <rPh sb="0" eb="2">
      <t>ダイスウ</t>
    </rPh>
    <phoneticPr fontId="4"/>
  </si>
  <si>
    <t>冷凍能力</t>
    <rPh sb="0" eb="2">
      <t>レイトウ</t>
    </rPh>
    <rPh sb="2" eb="4">
      <t>ノウリョク</t>
    </rPh>
    <phoneticPr fontId="4"/>
  </si>
  <si>
    <t>合計能力</t>
    <rPh sb="0" eb="2">
      <t>ゴウケイ</t>
    </rPh>
    <rPh sb="2" eb="4">
      <t>ノウリョク</t>
    </rPh>
    <phoneticPr fontId="4"/>
  </si>
  <si>
    <t>kcal/㎥K</t>
    <phoneticPr fontId="4"/>
  </si>
  <si>
    <t>内機名称</t>
    <rPh sb="0" eb="1">
      <t>ウチ</t>
    </rPh>
    <rPh sb="1" eb="2">
      <t>キ</t>
    </rPh>
    <rPh sb="2" eb="4">
      <t>メイショウ</t>
    </rPh>
    <phoneticPr fontId="4"/>
  </si>
  <si>
    <t xml:space="preserve">物件名 : </t>
    <rPh sb="0" eb="2">
      <t>ブッケン</t>
    </rPh>
    <rPh sb="2" eb="3">
      <t>メイ</t>
    </rPh>
    <phoneticPr fontId="4"/>
  </si>
  <si>
    <t>外機</t>
    <rPh sb="0" eb="1">
      <t>ソト</t>
    </rPh>
    <rPh sb="1" eb="2">
      <t>キ</t>
    </rPh>
    <phoneticPr fontId="4"/>
  </si>
  <si>
    <t>内機</t>
    <rPh sb="0" eb="1">
      <t>ウチ</t>
    </rPh>
    <phoneticPr fontId="4"/>
  </si>
  <si>
    <t>更新日 : 2018/6/13</t>
    <rPh sb="0" eb="2">
      <t>コウシン</t>
    </rPh>
    <rPh sb="2" eb="3">
      <t>ビ</t>
    </rPh>
    <phoneticPr fontId="4"/>
  </si>
  <si>
    <t>機器リスト</t>
    <rPh sb="0" eb="2">
      <t>キキ</t>
    </rPh>
    <phoneticPr fontId="4"/>
  </si>
  <si>
    <t>hizyu = 1 / (461.6 * (0.622 + (0.622 * ((温度 ^ 4 * 0.000004644 + 温度 ^ 3 * 0.00008715 + 温度 ^ 2 * 0.01284 + 0.31787 * 温度 + 4.603) * 湿度 / 100) / (760 - ((温度 ^ 4 * 0.000004644 + 温度 ^ 3 * 0.00008715 + 温度 ^ 2 * 0.01284 + 0.31787 * 温度 + 4.603) * 湿度 / 100)) * 1000) / 1000) * (273 + 温度) / 101325)</t>
  </si>
  <si>
    <t>situdo = 0.622 * ((温度 ^ 4 * 0.000004644 + 温度 ^ 3 * 0.00008715 + 温度 ^ 2 * 0.01284 + 0.31787 * 温度 + 4.603) * 湿度 / 100) / (760 - ((温度 ^ 4 * 0.000004644 + 温度 ^ 3 * 0.00008715 + 温度 ^ 2 * 0.01284 + 0.31787 * 温度 + 4.603) * 湿度 / 100)) * 1000</t>
  </si>
  <si>
    <t>entaru = (1.006 * 温度 + (1.0805 * 温度 + 2501) * (0.622 * ((温度 ^ 4 * 0.000004644 + 温度 ^ 3 * 0.00008715 + 温度 ^ 2 * 0.01284 + 0.31787 * 温度 + 4.603) * 湿度 / 100) / (760 - ((温度 ^ 4 * 0.000004644 + 温度 ^ 3 * 0.00008715 + 温度 ^ 2 * 0.01284 + 0.31787 * 温度 + 4.603) * 湿度 / 100)) * 1000) / 1000)</t>
    <phoneticPr fontId="4"/>
  </si>
  <si>
    <t>シート内近似式</t>
    <rPh sb="3" eb="4">
      <t>ナイ</t>
    </rPh>
    <rPh sb="4" eb="7">
      <t>キンジシキ</t>
    </rPh>
    <phoneticPr fontId="4"/>
  </si>
  <si>
    <t>温度</t>
    <rPh sb="0" eb="2">
      <t>オンド</t>
    </rPh>
    <phoneticPr fontId="4"/>
  </si>
  <si>
    <t>湿度</t>
    <rPh sb="0" eb="2">
      <t>シツド</t>
    </rPh>
    <phoneticPr fontId="4"/>
  </si>
  <si>
    <t>エンタルピー</t>
    <phoneticPr fontId="4"/>
  </si>
  <si>
    <t>ｴﾝﾀﾙﾋﾟ－</t>
    <phoneticPr fontId="4"/>
  </si>
  <si>
    <t>空気物性</t>
    <rPh sb="0" eb="2">
      <t>クウキ</t>
    </rPh>
    <rPh sb="2" eb="4">
      <t>ブッセイ</t>
    </rPh>
    <phoneticPr fontId="4"/>
  </si>
  <si>
    <t>比重</t>
    <rPh sb="0" eb="2">
      <t>ヒジュウ</t>
    </rPh>
    <phoneticPr fontId="4"/>
  </si>
  <si>
    <t>設計資料_190523更新</t>
    <rPh sb="0" eb="2">
      <t>セッケイ</t>
    </rPh>
    <rPh sb="2" eb="4">
      <t>シリョウ</t>
    </rPh>
    <rPh sb="11" eb="13">
      <t>コウシン</t>
    </rPh>
    <phoneticPr fontId="4"/>
  </si>
  <si>
    <t>エアロフレックス</t>
  </si>
  <si>
    <t>0.032W/mK(-20℃)</t>
    <phoneticPr fontId="4"/>
  </si>
  <si>
    <t>熱伝導率</t>
    <rPh sb="0" eb="1">
      <t>ネツ</t>
    </rPh>
    <rPh sb="1" eb="4">
      <t>デンドウリツ</t>
    </rPh>
    <phoneticPr fontId="4"/>
  </si>
  <si>
    <t>使用温度範囲</t>
    <rPh sb="0" eb="2">
      <t>シヨウ</t>
    </rPh>
    <rPh sb="2" eb="4">
      <t>オンド</t>
    </rPh>
    <rPh sb="4" eb="6">
      <t>ハンイ</t>
    </rPh>
    <phoneticPr fontId="4"/>
  </si>
  <si>
    <t>アーマーフレックス</t>
    <phoneticPr fontId="4"/>
  </si>
  <si>
    <t>0.034W/mK(0℃)</t>
    <phoneticPr fontId="4"/>
  </si>
  <si>
    <t>-180℃～150℃</t>
    <phoneticPr fontId="4"/>
  </si>
  <si>
    <t>-200℃～125℃</t>
    <phoneticPr fontId="4"/>
  </si>
  <si>
    <t>ポリスチレンフォーム</t>
    <phoneticPr fontId="4"/>
  </si>
  <si>
    <t>（ダイヤックスフォーム）</t>
    <phoneticPr fontId="4"/>
  </si>
  <si>
    <t>0.040W/mK(23℃)</t>
    <phoneticPr fontId="4"/>
  </si>
  <si>
    <t>70℃以下</t>
    <rPh sb="3" eb="5">
      <t>イカ</t>
    </rPh>
    <phoneticPr fontId="4"/>
  </si>
  <si>
    <t>客先要求事項</t>
    <rPh sb="0" eb="2">
      <t>キャクサキ</t>
    </rPh>
    <rPh sb="2" eb="4">
      <t>ヨウキュウ</t>
    </rPh>
    <rPh sb="4" eb="6">
      <t>ジコウ</t>
    </rPh>
    <phoneticPr fontId="4"/>
  </si>
  <si>
    <t>顧客</t>
    <rPh sb="0" eb="2">
      <t>コキャク</t>
    </rPh>
    <phoneticPr fontId="4"/>
  </si>
  <si>
    <t>工番</t>
    <rPh sb="0" eb="2">
      <t>コウバン</t>
    </rPh>
    <phoneticPr fontId="4"/>
  </si>
  <si>
    <t>依頼内容</t>
    <rPh sb="0" eb="2">
      <t>イライ</t>
    </rPh>
    <rPh sb="2" eb="4">
      <t>ナイヨウ</t>
    </rPh>
    <phoneticPr fontId="4"/>
  </si>
  <si>
    <t>冷蔵庫・冷凍庫・保管庫・凍結庫・急速凍結庫</t>
    <rPh sb="0" eb="3">
      <t>レイゾウコ</t>
    </rPh>
    <rPh sb="4" eb="7">
      <t>レイトウコ</t>
    </rPh>
    <rPh sb="8" eb="11">
      <t>ホカンコ</t>
    </rPh>
    <rPh sb="12" eb="14">
      <t>トウケツ</t>
    </rPh>
    <rPh sb="14" eb="15">
      <t>コ</t>
    </rPh>
    <rPh sb="16" eb="18">
      <t>キュウソク</t>
    </rPh>
    <rPh sb="18" eb="20">
      <t>トウケツ</t>
    </rPh>
    <rPh sb="20" eb="21">
      <t>コ</t>
    </rPh>
    <phoneticPr fontId="4"/>
  </si>
  <si>
    <t>営業担当</t>
    <rPh sb="0" eb="2">
      <t>エイギョウ</t>
    </rPh>
    <rPh sb="2" eb="4">
      <t>タントウ</t>
    </rPh>
    <phoneticPr fontId="4"/>
  </si>
  <si>
    <t>設計担当</t>
    <rPh sb="0" eb="2">
      <t>セッケイ</t>
    </rPh>
    <rPh sb="2" eb="4">
      <t>タントウ</t>
    </rPh>
    <phoneticPr fontId="4"/>
  </si>
  <si>
    <t>詳　　細　　内　　容</t>
    <rPh sb="0" eb="1">
      <t>ショウ</t>
    </rPh>
    <rPh sb="3" eb="4">
      <t>ホソ</t>
    </rPh>
    <rPh sb="6" eb="7">
      <t>ナイ</t>
    </rPh>
    <rPh sb="9" eb="10">
      <t>カタチ</t>
    </rPh>
    <phoneticPr fontId="4"/>
  </si>
  <si>
    <t>工事内容</t>
    <rPh sb="0" eb="2">
      <t>コウジ</t>
    </rPh>
    <rPh sb="2" eb="4">
      <t>ナイヨウ</t>
    </rPh>
    <phoneticPr fontId="4"/>
  </si>
  <si>
    <t>部屋温度</t>
    <rPh sb="0" eb="2">
      <t>ヘヤ</t>
    </rPh>
    <rPh sb="2" eb="4">
      <t>オンド</t>
    </rPh>
    <phoneticPr fontId="4"/>
  </si>
  <si>
    <t>換気</t>
    <rPh sb="0" eb="2">
      <t>カンキ</t>
    </rPh>
    <phoneticPr fontId="4"/>
  </si>
  <si>
    <t>有・無</t>
    <rPh sb="0" eb="1">
      <t>アリ</t>
    </rPh>
    <rPh sb="2" eb="3">
      <t>ナ</t>
    </rPh>
    <phoneticPr fontId="4"/>
  </si>
  <si>
    <t>扉の数</t>
    <rPh sb="0" eb="1">
      <t>トビラ</t>
    </rPh>
    <rPh sb="2" eb="3">
      <t>カズ</t>
    </rPh>
    <phoneticPr fontId="4"/>
  </si>
  <si>
    <t>商　　品　　情　　報</t>
    <rPh sb="0" eb="1">
      <t>ショウ</t>
    </rPh>
    <rPh sb="3" eb="4">
      <t>ヒン</t>
    </rPh>
    <rPh sb="6" eb="7">
      <t>ジョウ</t>
    </rPh>
    <rPh sb="9" eb="10">
      <t>ホウ</t>
    </rPh>
    <phoneticPr fontId="4"/>
  </si>
  <si>
    <t>商品</t>
    <rPh sb="0" eb="2">
      <t>ショウヒン</t>
    </rPh>
    <phoneticPr fontId="4"/>
  </si>
  <si>
    <t>形状</t>
    <rPh sb="0" eb="2">
      <t>ケイジョウ</t>
    </rPh>
    <phoneticPr fontId="4"/>
  </si>
  <si>
    <t>客先より要望</t>
    <rPh sb="0" eb="2">
      <t>キャクサキ</t>
    </rPh>
    <rPh sb="4" eb="6">
      <t>ヨウボウ</t>
    </rPh>
    <phoneticPr fontId="4"/>
  </si>
  <si>
    <t>入温：</t>
    <rPh sb="0" eb="1">
      <t>イ</t>
    </rPh>
    <rPh sb="1" eb="2">
      <t>オン</t>
    </rPh>
    <phoneticPr fontId="4"/>
  </si>
  <si>
    <t>終温：</t>
    <phoneticPr fontId="4"/>
  </si>
  <si>
    <t>kg当たりの負荷量</t>
    <rPh sb="2" eb="3">
      <t>ア</t>
    </rPh>
    <rPh sb="6" eb="8">
      <t>フカ</t>
    </rPh>
    <rPh sb="8" eb="9">
      <t>リョウ</t>
    </rPh>
    <phoneticPr fontId="4"/>
  </si>
  <si>
    <t>凍結潜熱</t>
    <rPh sb="0" eb="2">
      <t>トウケツ</t>
    </rPh>
    <rPh sb="2" eb="4">
      <t>センネツ</t>
    </rPh>
    <phoneticPr fontId="4"/>
  </si>
  <si>
    <t>＝</t>
    <phoneticPr fontId="4"/>
  </si>
  <si>
    <t>kj/kg</t>
    <phoneticPr fontId="4"/>
  </si>
  <si>
    <t>kcal/kg</t>
    <phoneticPr fontId="4"/>
  </si>
  <si>
    <t>kJ/kg</t>
    <phoneticPr fontId="4"/>
  </si>
  <si>
    <t>冷却設備　機器リスト</t>
    <rPh sb="0" eb="2">
      <t>レイキャク</t>
    </rPh>
    <rPh sb="2" eb="4">
      <t>セツビ</t>
    </rPh>
    <rPh sb="5" eb="7">
      <t>キキ</t>
    </rPh>
    <phoneticPr fontId="55"/>
  </si>
  <si>
    <t>部屋名</t>
    <rPh sb="0" eb="3">
      <t>ヘヤメイ</t>
    </rPh>
    <phoneticPr fontId="55"/>
  </si>
  <si>
    <t>A</t>
    <phoneticPr fontId="55"/>
  </si>
  <si>
    <t>冷却設備</t>
    <rPh sb="0" eb="2">
      <t>レイキャク</t>
    </rPh>
    <rPh sb="2" eb="4">
      <t>セツビ</t>
    </rPh>
    <phoneticPr fontId="55"/>
  </si>
  <si>
    <t>冷凍機</t>
    <rPh sb="0" eb="3">
      <t>レイトウキ</t>
    </rPh>
    <phoneticPr fontId="55"/>
  </si>
  <si>
    <t>クーラー</t>
    <phoneticPr fontId="55"/>
  </si>
  <si>
    <t>備考</t>
    <rPh sb="0" eb="2">
      <t>ビコウ</t>
    </rPh>
    <phoneticPr fontId="55"/>
  </si>
  <si>
    <t>℃</t>
    <phoneticPr fontId="55"/>
  </si>
  <si>
    <t>㎡</t>
    <phoneticPr fontId="55"/>
  </si>
  <si>
    <t>kW</t>
    <phoneticPr fontId="55"/>
  </si>
  <si>
    <t>kcal/h/m2</t>
    <phoneticPr fontId="55"/>
  </si>
  <si>
    <t>冷却方法</t>
    <rPh sb="0" eb="2">
      <t>レイキャク</t>
    </rPh>
    <rPh sb="2" eb="4">
      <t>ホウホウ</t>
    </rPh>
    <phoneticPr fontId="55"/>
  </si>
  <si>
    <t>冷媒</t>
    <rPh sb="0" eb="2">
      <t>レイバイ</t>
    </rPh>
    <phoneticPr fontId="55"/>
  </si>
  <si>
    <t>No</t>
    <phoneticPr fontId="55"/>
  </si>
  <si>
    <t>型式</t>
    <rPh sb="0" eb="2">
      <t>カタシキ</t>
    </rPh>
    <phoneticPr fontId="55"/>
  </si>
  <si>
    <r>
      <t>W</t>
    </r>
    <r>
      <rPr>
        <vertAlign val="subscript"/>
        <sz val="8"/>
        <color theme="1"/>
        <rFont val="ＭＳ Ｐゴシック"/>
        <family val="3"/>
        <charset val="128"/>
        <scheme val="minor"/>
      </rPr>
      <t>R</t>
    </r>
    <phoneticPr fontId="55"/>
  </si>
  <si>
    <t>n</t>
    <phoneticPr fontId="55"/>
  </si>
  <si>
    <r>
      <t>W</t>
    </r>
    <r>
      <rPr>
        <vertAlign val="subscript"/>
        <sz val="8"/>
        <rFont val="ＭＳ Ｐゴシック"/>
        <family val="3"/>
        <charset val="128"/>
        <scheme val="minor"/>
      </rPr>
      <t>UC</t>
    </r>
    <r>
      <rPr>
        <sz val="8"/>
        <rFont val="ＭＳ Ｐゴシック"/>
        <family val="3"/>
        <charset val="128"/>
        <scheme val="minor"/>
      </rPr>
      <t>（運転）</t>
    </r>
    <rPh sb="4" eb="6">
      <t>ウンテン</t>
    </rPh>
    <phoneticPr fontId="55"/>
  </si>
  <si>
    <r>
      <t>W</t>
    </r>
    <r>
      <rPr>
        <vertAlign val="subscript"/>
        <sz val="8"/>
        <rFont val="ＭＳ Ｐゴシック"/>
        <family val="3"/>
        <charset val="128"/>
        <scheme val="minor"/>
      </rPr>
      <t>UC</t>
    </r>
    <r>
      <rPr>
        <sz val="8"/>
        <rFont val="ＭＳ Ｐゴシック"/>
        <family val="3"/>
        <charset val="128"/>
        <scheme val="minor"/>
      </rPr>
      <t>（除霜）</t>
    </r>
    <rPh sb="4" eb="6">
      <t>ジョソウ</t>
    </rPh>
    <phoneticPr fontId="4"/>
  </si>
  <si>
    <t>ｎ</t>
    <phoneticPr fontId="55"/>
  </si>
  <si>
    <t>前室</t>
    <rPh sb="0" eb="2">
      <t>ゼンシツ</t>
    </rPh>
    <phoneticPr fontId="4"/>
  </si>
  <si>
    <t>保管庫１</t>
    <rPh sb="0" eb="3">
      <t>ホカンコ</t>
    </rPh>
    <phoneticPr fontId="4"/>
  </si>
  <si>
    <t>保管庫２</t>
    <rPh sb="0" eb="3">
      <t>ホカンコ</t>
    </rPh>
    <phoneticPr fontId="4"/>
  </si>
  <si>
    <t>保管庫３</t>
    <rPh sb="0" eb="3">
      <t>ホカンコ</t>
    </rPh>
    <phoneticPr fontId="4"/>
  </si>
  <si>
    <t>保管庫４</t>
    <rPh sb="0" eb="3">
      <t>ホカンコ</t>
    </rPh>
    <phoneticPr fontId="4"/>
  </si>
  <si>
    <t>保管庫５</t>
    <rPh sb="0" eb="3">
      <t>ホカンコ</t>
    </rPh>
    <phoneticPr fontId="4"/>
  </si>
  <si>
    <t xml:space="preserve">  </t>
    <phoneticPr fontId="4"/>
  </si>
  <si>
    <t>食品名</t>
  </si>
  <si>
    <t>相対湿度</t>
  </si>
  <si>
    <t>貯蔵期間</t>
  </si>
  <si>
    <t>牛肉</t>
  </si>
  <si>
    <t>アボガド</t>
  </si>
  <si>
    <t>4～13</t>
  </si>
  <si>
    <t>85～90</t>
  </si>
  <si>
    <t>2～4週</t>
  </si>
  <si>
    <t>０～1</t>
  </si>
  <si>
    <t>88～92</t>
  </si>
  <si>
    <t>1～6週</t>
  </si>
  <si>
    <t>62～77</t>
  </si>
  <si>
    <t>2.914～3.426</t>
  </si>
  <si>
    <t>1.616～1.804</t>
  </si>
  <si>
    <t>206.8～256.83</t>
  </si>
  <si>
    <t>甘露メロン</t>
  </si>
  <si>
    <t>7～10</t>
  </si>
  <si>
    <t>90～95</t>
  </si>
  <si>
    <t>3～4週</t>
  </si>
  <si>
    <t>たら・スズキ</t>
  </si>
  <si>
    <t>-1～1</t>
  </si>
  <si>
    <t>95～100</t>
  </si>
  <si>
    <t>12日</t>
  </si>
  <si>
    <t>ア ン ズ</t>
  </si>
  <si>
    <t>1～2週</t>
  </si>
  <si>
    <t>枝肉choice</t>
  </si>
  <si>
    <t>0～1</t>
  </si>
  <si>
    <t>1～3週</t>
  </si>
  <si>
    <t>おひょう</t>
  </si>
  <si>
    <t>18日</t>
  </si>
  <si>
    <t>イ チ ゴ</t>
  </si>
  <si>
    <t>-0.5～0</t>
  </si>
  <si>
    <t>5～7日</t>
  </si>
  <si>
    <t>にしん</t>
  </si>
  <si>
    <t>0～2</t>
  </si>
  <si>
    <t>80～90</t>
  </si>
  <si>
    <t>10日</t>
  </si>
  <si>
    <t>オレンジ</t>
  </si>
  <si>
    <t>0～9</t>
  </si>
  <si>
    <t>3～12週</t>
  </si>
  <si>
    <t>prime</t>
  </si>
  <si>
    <t>柿</t>
  </si>
  <si>
    <t>3～4月</t>
  </si>
  <si>
    <t>さば</t>
  </si>
  <si>
    <t>5～8日</t>
  </si>
  <si>
    <t>グレープフルーツ</t>
  </si>
  <si>
    <t>10～16</t>
  </si>
  <si>
    <t>4～6週</t>
  </si>
  <si>
    <t>サーロイン</t>
  </si>
  <si>
    <t>さけ</t>
  </si>
  <si>
    <t>桜桃</t>
  </si>
  <si>
    <t>-1～0</t>
  </si>
  <si>
    <t>3～7日</t>
  </si>
  <si>
    <t>ラウンドカット</t>
  </si>
  <si>
    <t>-</t>
  </si>
  <si>
    <t>まぐろ</t>
  </si>
  <si>
    <t>14日</t>
  </si>
  <si>
    <t>乾燥肉</t>
  </si>
  <si>
    <t>10～15</t>
  </si>
  <si>
    <t>6～8週</t>
  </si>
  <si>
    <t>6～12月</t>
  </si>
  <si>
    <t>2～3週</t>
  </si>
  <si>
    <t>レバー</t>
  </si>
  <si>
    <t>1～5日</t>
  </si>
  <si>
    <t>帆立貝肉</t>
  </si>
  <si>
    <t>スイカ</t>
  </si>
  <si>
    <t>4～10</t>
  </si>
  <si>
    <t>子肉</t>
  </si>
  <si>
    <t>1～7日</t>
  </si>
  <si>
    <t>車えび</t>
  </si>
  <si>
    <t>12～14日</t>
  </si>
  <si>
    <t>西洋梨</t>
  </si>
  <si>
    <t>-16～-0.5</t>
  </si>
  <si>
    <t>2～7月</t>
  </si>
  <si>
    <t>伊勢えび</t>
  </si>
  <si>
    <t>5～10</t>
  </si>
  <si>
    <t>海水中</t>
  </si>
  <si>
    <t>無期限 （海水中）</t>
  </si>
  <si>
    <t>ネクタリン</t>
  </si>
  <si>
    <t>パインアップル</t>
  </si>
  <si>
    <t>豚肉</t>
  </si>
  <si>
    <t>かき</t>
  </si>
  <si>
    <t>32～44</t>
  </si>
  <si>
    <t>-22～-2.7</t>
  </si>
  <si>
    <t>1.909～2.311</t>
  </si>
  <si>
    <t>1.239～1.390</t>
  </si>
  <si>
    <t>106.74～146.76</t>
  </si>
  <si>
    <t>バナナ</t>
  </si>
  <si>
    <t>85～95</t>
  </si>
  <si>
    <t>カキ（殻つき）</t>
  </si>
  <si>
    <t>5日</t>
  </si>
  <si>
    <t>パパイヤ</t>
  </si>
  <si>
    <t>枝肉</t>
  </si>
  <si>
    <t>3～5日</t>
  </si>
  <si>
    <t>3～8月</t>
  </si>
  <si>
    <t>ブドウ</t>
  </si>
  <si>
    <t>2～8週</t>
  </si>
  <si>
    <t>ばら肉</t>
  </si>
  <si>
    <t>バター</t>
  </si>
  <si>
    <t>75～85</t>
  </si>
  <si>
    <t>1月</t>
  </si>
  <si>
    <t>-20～-0.6</t>
  </si>
  <si>
    <t>3～6月</t>
  </si>
  <si>
    <t>12月</t>
  </si>
  <si>
    <t>Back fat</t>
  </si>
  <si>
    <t>チェダーチーズ</t>
  </si>
  <si>
    <t>65～70</t>
  </si>
  <si>
    <t>18月</t>
  </si>
  <si>
    <t>ブルーベリー</t>
  </si>
  <si>
    <t>－１～0</t>
  </si>
  <si>
    <t>2週</t>
  </si>
  <si>
    <t>プラム</t>
  </si>
  <si>
    <t>肩肉</t>
  </si>
  <si>
    <t>6月</t>
  </si>
  <si>
    <t>マスクメロン</t>
  </si>
  <si>
    <t>マンゴ</t>
  </si>
  <si>
    <t>4～6月</t>
  </si>
  <si>
    <t>モモ</t>
  </si>
  <si>
    <t>モモ肉</t>
  </si>
  <si>
    <t>80～85</t>
  </si>
  <si>
    <t>ライム</t>
  </si>
  <si>
    <t>9～10</t>
  </si>
  <si>
    <t>ラズベリー</t>
  </si>
  <si>
    <t>2～3日</t>
  </si>
  <si>
    <t>light ure</t>
  </si>
  <si>
    <t>3～5</t>
  </si>
  <si>
    <t>1～2日</t>
  </si>
  <si>
    <t>country cure</t>
  </si>
  <si>
    <t>3～5月</t>
  </si>
  <si>
    <t>アイスクリーム</t>
  </si>
  <si>
    <t>-29～-26</t>
  </si>
  <si>
    <t>3～23月</t>
  </si>
  <si>
    <t>63.37～13.36</t>
  </si>
  <si>
    <t>牛乳</t>
  </si>
  <si>
    <t>0～1.1</t>
  </si>
  <si>
    <t>2～4月</t>
  </si>
  <si>
    <t>リンゴ</t>
  </si>
  <si>
    <t>-1～4</t>
  </si>
  <si>
    <t>レモン</t>
  </si>
  <si>
    <t>0か10～14</t>
  </si>
  <si>
    <t>1～6月</t>
  </si>
  <si>
    <t>塩漬品</t>
  </si>
  <si>
    <t>16～18</t>
  </si>
  <si>
    <t>13～20</t>
  </si>
  <si>
    <t>1.273～1.507</t>
  </si>
  <si>
    <t>1.001～1.088</t>
  </si>
  <si>
    <t>粉ミルク</t>
  </si>
  <si>
    <t>低</t>
  </si>
  <si>
    <t>6～9月</t>
  </si>
  <si>
    <t>アスパラガス</t>
  </si>
  <si>
    <t>脱脂粉乳</t>
  </si>
  <si>
    <t>7～21</t>
  </si>
  <si>
    <t>16月</t>
  </si>
  <si>
    <t>オ ク ラ</t>
  </si>
  <si>
    <t>7～10日</t>
  </si>
  <si>
    <t>エバミルク</t>
  </si>
  <si>
    <t>24月</t>
  </si>
  <si>
    <t>カポチャ</t>
  </si>
  <si>
    <t>10～13</t>
  </si>
  <si>
    <t>70～75</t>
  </si>
  <si>
    <t>2～3月</t>
  </si>
  <si>
    <t>キュウリ</t>
  </si>
  <si>
    <t>10～14日</t>
  </si>
  <si>
    <t>ソーセージ</t>
  </si>
  <si>
    <t>キャベツ</t>
  </si>
  <si>
    <t>5～6月</t>
  </si>
  <si>
    <t>練乳</t>
  </si>
  <si>
    <t>15月</t>
  </si>
  <si>
    <t>カントリー</t>
  </si>
  <si>
    <t>グリーンピース</t>
  </si>
  <si>
    <t>サツマイモ</t>
  </si>
  <si>
    <t>13～16</t>
  </si>
  <si>
    <t>4～7月</t>
  </si>
  <si>
    <t>フランクフルト</t>
  </si>
  <si>
    <t>ジャガイモ</t>
  </si>
  <si>
    <t>ポーランド風</t>
  </si>
  <si>
    <t>+</t>
  </si>
  <si>
    <t>卵</t>
  </si>
  <si>
    <t>-2～0</t>
  </si>
  <si>
    <t>3～10</t>
  </si>
  <si>
    <t>5～8月</t>
  </si>
  <si>
    <t>羊肉</t>
  </si>
  <si>
    <t>玉ねぎ・新</t>
  </si>
  <si>
    <t>5～12日</t>
  </si>
  <si>
    <t>60～70</t>
  </si>
  <si>
    <t>2.847～3.182</t>
  </si>
  <si>
    <t>1.591～1.717</t>
  </si>
  <si>
    <t>200.01～233.48</t>
  </si>
  <si>
    <t>トマト</t>
  </si>
  <si>
    <t>13～21</t>
  </si>
  <si>
    <t>凍結全卵</t>
  </si>
  <si>
    <t>-18以下</t>
  </si>
  <si>
    <t>1年以上</t>
  </si>
  <si>
    <t>choice</t>
  </si>
  <si>
    <t>凍結黄卵</t>
  </si>
  <si>
    <t>4～7日</t>
  </si>
  <si>
    <t>凍結卵白</t>
  </si>
  <si>
    <t>足肉</t>
  </si>
  <si>
    <t>ナス</t>
  </si>
  <si>
    <t>ミルクチョコレート</t>
  </si>
  <si>
    <t>-18～1.1</t>
  </si>
  <si>
    <t>0.85.</t>
  </si>
  <si>
    <t>ニラ</t>
  </si>
  <si>
    <t>98～100</t>
  </si>
  <si>
    <t>1～3日</t>
  </si>
  <si>
    <t>ピーナッツプリトル</t>
  </si>
  <si>
    <t>1.5～6月</t>
  </si>
  <si>
    <t>ニンジン</t>
  </si>
  <si>
    <t>家畜肉</t>
  </si>
  <si>
    <t>ファッジ</t>
  </si>
  <si>
    <t>5～12月</t>
  </si>
  <si>
    <t>1週</t>
  </si>
  <si>
    <t>マシュマロ</t>
  </si>
  <si>
    <t>3～9月</t>
  </si>
  <si>
    <t>5～9月</t>
  </si>
  <si>
    <t>鶏肉</t>
  </si>
  <si>
    <t>ビール</t>
  </si>
  <si>
    <t>2～4</t>
  </si>
  <si>
    <t>3～8週</t>
  </si>
  <si>
    <t>パセリ</t>
  </si>
  <si>
    <t>1～2月</t>
  </si>
  <si>
    <t>七面鳥</t>
  </si>
  <si>
    <t>ブロッコリー</t>
  </si>
  <si>
    <t>アヒル肉</t>
  </si>
  <si>
    <t>ホーレンソウ</t>
  </si>
  <si>
    <t>マッシュルーム</t>
  </si>
  <si>
    <t>3～4日</t>
  </si>
  <si>
    <t>パン</t>
  </si>
  <si>
    <t>3～13週</t>
  </si>
  <si>
    <t>32～37</t>
  </si>
  <si>
    <t>106.74～123.41</t>
  </si>
  <si>
    <t>メキャベツ</t>
  </si>
  <si>
    <t>3～5週</t>
  </si>
  <si>
    <t>兎肉（生）</t>
  </si>
  <si>
    <t>レタス</t>
  </si>
  <si>
    <t>ココナッツ</t>
  </si>
  <si>
    <t>コーヒー</t>
  </si>
  <si>
    <t>2～3</t>
  </si>
  <si>
    <t>1.172～1340</t>
  </si>
  <si>
    <t>0.962～1.026</t>
  </si>
  <si>
    <t>033.36～50.03</t>
  </si>
  <si>
    <t>品目</t>
    <rPh sb="0" eb="2">
      <t>ヒンモク</t>
    </rPh>
    <phoneticPr fontId="43"/>
  </si>
  <si>
    <t>凍結前比熱</t>
    <rPh sb="0" eb="2">
      <t>トウケツ</t>
    </rPh>
    <rPh sb="2" eb="3">
      <t>マエ</t>
    </rPh>
    <phoneticPr fontId="4"/>
  </si>
  <si>
    <t>凍結後比熱</t>
    <rPh sb="2" eb="3">
      <t>ゴ</t>
    </rPh>
    <rPh sb="3" eb="5">
      <t>ヒネツ</t>
    </rPh>
    <phoneticPr fontId="4"/>
  </si>
  <si>
    <t>貯蔵温度[℃]</t>
    <phoneticPr fontId="4"/>
  </si>
  <si>
    <t>水分含量[%]</t>
    <phoneticPr fontId="4"/>
  </si>
  <si>
    <t>凍結点</t>
    <rPh sb="2" eb="3">
      <t>テン</t>
    </rPh>
    <phoneticPr fontId="4"/>
  </si>
  <si>
    <t>凍結潜熱</t>
    <phoneticPr fontId="4"/>
  </si>
  <si>
    <t>　　　　　　　　熱量計算書　</t>
    <rPh sb="8" eb="9">
      <t>ネツ</t>
    </rPh>
    <rPh sb="9" eb="10">
      <t>リョウ</t>
    </rPh>
    <rPh sb="10" eb="12">
      <t>ケイサン</t>
    </rPh>
    <rPh sb="12" eb="13">
      <t>ショ</t>
    </rPh>
    <phoneticPr fontId="4"/>
  </si>
  <si>
    <t>　熱量計算設計条件　</t>
    <rPh sb="1" eb="3">
      <t>ネツリョウ</t>
    </rPh>
    <rPh sb="3" eb="5">
      <t>ケイサン</t>
    </rPh>
    <rPh sb="5" eb="7">
      <t>セッケイ</t>
    </rPh>
    <rPh sb="7" eb="9">
      <t>ジョウケン</t>
    </rPh>
    <phoneticPr fontId="4"/>
  </si>
  <si>
    <t>壁-北</t>
    <rPh sb="0" eb="1">
      <t>カベ</t>
    </rPh>
    <rPh sb="2" eb="3">
      <t>キタ</t>
    </rPh>
    <phoneticPr fontId="4"/>
  </si>
  <si>
    <t>壁-東</t>
    <rPh sb="0" eb="1">
      <t>カベ</t>
    </rPh>
    <rPh sb="2" eb="3">
      <t>ヒガシ</t>
    </rPh>
    <phoneticPr fontId="4"/>
  </si>
  <si>
    <t>壁-西</t>
    <rPh sb="0" eb="1">
      <t>カベ</t>
    </rPh>
    <rPh sb="2" eb="3">
      <t>ニシ</t>
    </rPh>
    <phoneticPr fontId="4"/>
  </si>
  <si>
    <t>壁-南</t>
    <rPh sb="0" eb="1">
      <t>カベ</t>
    </rPh>
    <rPh sb="2" eb="3">
      <t>ミナミ</t>
    </rPh>
    <phoneticPr fontId="4"/>
  </si>
  <si>
    <r>
      <t>Q</t>
    </r>
    <r>
      <rPr>
        <vertAlign val="subscript"/>
        <sz val="8"/>
        <color theme="1"/>
        <rFont val="ＭＳ Ｐゴシック"/>
        <family val="3"/>
        <charset val="128"/>
        <scheme val="minor"/>
      </rPr>
      <t>L</t>
    </r>
    <phoneticPr fontId="55"/>
  </si>
  <si>
    <r>
      <t>Q</t>
    </r>
    <r>
      <rPr>
        <vertAlign val="subscript"/>
        <sz val="8"/>
        <color theme="1"/>
        <rFont val="ＭＳ Ｐゴシック"/>
        <family val="3"/>
        <charset val="128"/>
        <scheme val="minor"/>
      </rPr>
      <t>R</t>
    </r>
    <r>
      <rPr>
        <sz val="8"/>
        <color theme="1"/>
        <rFont val="ＭＳ Ｐゴシック"/>
        <family val="3"/>
        <charset val="128"/>
        <scheme val="minor"/>
      </rPr>
      <t>／ET</t>
    </r>
    <phoneticPr fontId="55"/>
  </si>
  <si>
    <r>
      <t>Q</t>
    </r>
    <r>
      <rPr>
        <vertAlign val="subscript"/>
        <sz val="8"/>
        <color theme="1"/>
        <rFont val="ＭＳ Ｐゴシック"/>
        <family val="3"/>
        <charset val="128"/>
        <scheme val="minor"/>
      </rPr>
      <t>R</t>
    </r>
    <r>
      <rPr>
        <sz val="8"/>
        <color theme="1"/>
        <rFont val="ＭＳ Ｐゴシック"/>
        <family val="3"/>
        <charset val="128"/>
        <scheme val="minor"/>
      </rPr>
      <t>'</t>
    </r>
    <phoneticPr fontId="55"/>
  </si>
  <si>
    <r>
      <t>W</t>
    </r>
    <r>
      <rPr>
        <vertAlign val="subscript"/>
        <sz val="8"/>
        <color theme="1"/>
        <rFont val="ＭＳ Ｐゴシック"/>
        <family val="3"/>
        <charset val="128"/>
        <scheme val="minor"/>
      </rPr>
      <t>R</t>
    </r>
    <r>
      <rPr>
        <sz val="8"/>
        <color theme="1"/>
        <rFont val="ＭＳ Ｐゴシック"/>
        <family val="3"/>
        <charset val="128"/>
        <scheme val="minor"/>
      </rPr>
      <t>合計</t>
    </r>
    <rPh sb="2" eb="4">
      <t>ゴウケイ</t>
    </rPh>
    <phoneticPr fontId="55"/>
  </si>
  <si>
    <r>
      <t>Q</t>
    </r>
    <r>
      <rPr>
        <vertAlign val="subscript"/>
        <sz val="8"/>
        <rFont val="ＭＳ Ｐゴシック"/>
        <family val="3"/>
        <charset val="128"/>
        <scheme val="minor"/>
      </rPr>
      <t>UC</t>
    </r>
    <phoneticPr fontId="55"/>
  </si>
  <si>
    <r>
      <t>Q</t>
    </r>
    <r>
      <rPr>
        <vertAlign val="subscript"/>
        <sz val="8"/>
        <rFont val="ＭＳ Ｐゴシック"/>
        <family val="3"/>
        <charset val="128"/>
        <scheme val="minor"/>
      </rPr>
      <t>UC</t>
    </r>
    <r>
      <rPr>
        <sz val="8"/>
        <rFont val="ＭＳ Ｐゴシック"/>
        <family val="3"/>
        <charset val="128"/>
        <scheme val="minor"/>
      </rPr>
      <t>'</t>
    </r>
    <phoneticPr fontId="55"/>
  </si>
  <si>
    <r>
      <t>W</t>
    </r>
    <r>
      <rPr>
        <vertAlign val="subscript"/>
        <sz val="8"/>
        <color theme="1"/>
        <rFont val="ＭＳ Ｐゴシック"/>
        <family val="3"/>
        <charset val="128"/>
        <scheme val="minor"/>
      </rPr>
      <t>UC</t>
    </r>
    <r>
      <rPr>
        <sz val="8"/>
        <color theme="1"/>
        <rFont val="ＭＳ Ｐゴシック"/>
        <family val="3"/>
        <charset val="128"/>
        <scheme val="minor"/>
      </rPr>
      <t>合計（運転）</t>
    </r>
    <rPh sb="3" eb="5">
      <t>ゴウケイ</t>
    </rPh>
    <rPh sb="6" eb="8">
      <t>ウンテン</t>
    </rPh>
    <phoneticPr fontId="55"/>
  </si>
  <si>
    <r>
      <t>W</t>
    </r>
    <r>
      <rPr>
        <vertAlign val="subscript"/>
        <sz val="8"/>
        <color theme="1"/>
        <rFont val="ＭＳ Ｐゴシック"/>
        <family val="3"/>
        <charset val="128"/>
        <scheme val="minor"/>
      </rPr>
      <t>UC</t>
    </r>
    <r>
      <rPr>
        <sz val="8"/>
        <color theme="1"/>
        <rFont val="ＭＳ Ｐゴシック"/>
        <family val="3"/>
        <charset val="128"/>
        <scheme val="minor"/>
      </rPr>
      <t>合計（霜取）</t>
    </r>
    <rPh sb="6" eb="8">
      <t>シモト</t>
    </rPh>
    <phoneticPr fontId="55"/>
  </si>
  <si>
    <t>庫内温度</t>
    <rPh sb="0" eb="2">
      <t>コナイ</t>
    </rPh>
    <rPh sb="2" eb="3">
      <t>オン</t>
    </rPh>
    <rPh sb="3" eb="4">
      <t>ド</t>
    </rPh>
    <phoneticPr fontId="55"/>
  </si>
  <si>
    <t>機器表</t>
    <rPh sb="0" eb="3">
      <t>キキヒョウ</t>
    </rPh>
    <phoneticPr fontId="67"/>
  </si>
  <si>
    <t>機器番号</t>
    <rPh sb="0" eb="2">
      <t>キキ</t>
    </rPh>
    <rPh sb="2" eb="4">
      <t>バンゴウ</t>
    </rPh>
    <phoneticPr fontId="67"/>
  </si>
  <si>
    <t>名称（系統）</t>
    <rPh sb="0" eb="2">
      <t>メイショウ</t>
    </rPh>
    <rPh sb="3" eb="5">
      <t>ケイトウ</t>
    </rPh>
    <phoneticPr fontId="67"/>
  </si>
  <si>
    <t>設置場所</t>
    <rPh sb="0" eb="4">
      <t>セッチバショ</t>
    </rPh>
    <phoneticPr fontId="67"/>
  </si>
  <si>
    <t>仕　　様</t>
    <rPh sb="0" eb="1">
      <t>シ</t>
    </rPh>
    <rPh sb="3" eb="4">
      <t>サマ</t>
    </rPh>
    <phoneticPr fontId="67"/>
  </si>
  <si>
    <t>電気容量</t>
    <rPh sb="0" eb="4">
      <t>デンキヨウリョウ</t>
    </rPh>
    <phoneticPr fontId="67"/>
  </si>
  <si>
    <t>台数</t>
    <rPh sb="0" eb="2">
      <t>ダイスウ</t>
    </rPh>
    <phoneticPr fontId="67"/>
  </si>
  <si>
    <t>備考</t>
    <rPh sb="0" eb="2">
      <t>ビコウ</t>
    </rPh>
    <phoneticPr fontId="67"/>
  </si>
  <si>
    <t>φ</t>
    <phoneticPr fontId="67"/>
  </si>
  <si>
    <t>V</t>
    <phoneticPr fontId="67"/>
  </si>
  <si>
    <t>kW（W）</t>
    <phoneticPr fontId="67"/>
  </si>
  <si>
    <t>[共通事項］</t>
    <rPh sb="1" eb="5">
      <t>キョウツウジコウ</t>
    </rPh>
    <phoneticPr fontId="4"/>
  </si>
  <si>
    <t>1.</t>
    <phoneticPr fontId="4"/>
  </si>
  <si>
    <t>2.</t>
    <phoneticPr fontId="4"/>
  </si>
  <si>
    <t>3.</t>
  </si>
  <si>
    <t>4.</t>
  </si>
  <si>
    <t>5.</t>
  </si>
  <si>
    <t>6.</t>
  </si>
  <si>
    <t>7.</t>
  </si>
  <si>
    <t>　．</t>
    <phoneticPr fontId="4"/>
  </si>
  <si>
    <t>　代表となる設計者</t>
    <rPh sb="1" eb="3">
      <t>ダイヒョウ</t>
    </rPh>
    <rPh sb="6" eb="9">
      <t>セッケイシャ</t>
    </rPh>
    <phoneticPr fontId="4"/>
  </si>
  <si>
    <t>　担　当</t>
    <rPh sb="1" eb="2">
      <t>タン</t>
    </rPh>
    <rPh sb="3" eb="4">
      <t>トウ</t>
    </rPh>
    <phoneticPr fontId="4"/>
  </si>
  <si>
    <t>（機）</t>
    <rPh sb="1" eb="2">
      <t>キ</t>
    </rPh>
    <phoneticPr fontId="4"/>
  </si>
  <si>
    <t>.</t>
    <phoneticPr fontId="4"/>
  </si>
  <si>
    <t>　構造設計一級建築士</t>
    <rPh sb="1" eb="5">
      <t>コウゾウセッケイ</t>
    </rPh>
    <rPh sb="5" eb="10">
      <t>イッキュウケンチクシ</t>
    </rPh>
    <phoneticPr fontId="4"/>
  </si>
  <si>
    <t>03</t>
    <phoneticPr fontId="4"/>
  </si>
  <si>
    <t>空調設備　　機器表-1</t>
    <rPh sb="0" eb="2">
      <t>クウチョウ</t>
    </rPh>
    <rPh sb="2" eb="4">
      <t>セツビ</t>
    </rPh>
    <rPh sb="6" eb="9">
      <t>キキヒョウ</t>
    </rPh>
    <phoneticPr fontId="4"/>
  </si>
  <si>
    <t>A1:　-
A3:　-</t>
    <phoneticPr fontId="67"/>
  </si>
  <si>
    <t>■用紙サイズはＡ１ですＡ３で印刷するときはプリンターのプロパティで印刷用紙サイズをＡ３にし</t>
    <rPh sb="1" eb="3">
      <t>ヨウシ</t>
    </rPh>
    <rPh sb="14" eb="16">
      <t>インサツ</t>
    </rPh>
    <rPh sb="33" eb="37">
      <t>インサツヨウシ</t>
    </rPh>
    <phoneticPr fontId="4"/>
  </si>
  <si>
    <t>　倍率を５０％、中央に配置に設定してください。</t>
    <rPh sb="8" eb="10">
      <t>チュウオウ</t>
    </rPh>
    <rPh sb="11" eb="13">
      <t>ハイチ</t>
    </rPh>
    <phoneticPr fontId="4"/>
  </si>
  <si>
    <t>機器表</t>
    <rPh sb="0" eb="3">
      <t>キキヒョウ</t>
    </rPh>
    <phoneticPr fontId="4"/>
  </si>
  <si>
    <t>機器番号</t>
    <rPh sb="0" eb="2">
      <t>キキ</t>
    </rPh>
    <rPh sb="2" eb="4">
      <t>バンゴウ</t>
    </rPh>
    <phoneticPr fontId="4"/>
  </si>
  <si>
    <t>名称（系統）</t>
    <rPh sb="0" eb="2">
      <t>メイショウ</t>
    </rPh>
    <rPh sb="3" eb="5">
      <t>ケイトウ</t>
    </rPh>
    <phoneticPr fontId="4"/>
  </si>
  <si>
    <t>設置場所</t>
    <rPh sb="0" eb="4">
      <t>セッチバショ</t>
    </rPh>
    <phoneticPr fontId="4"/>
  </si>
  <si>
    <t>電気容量</t>
    <rPh sb="0" eb="2">
      <t>デンキ</t>
    </rPh>
    <rPh sb="2" eb="4">
      <t>ヨウリョウ</t>
    </rPh>
    <phoneticPr fontId="4"/>
  </si>
  <si>
    <t>φ</t>
    <phoneticPr fontId="4"/>
  </si>
  <si>
    <t>V</t>
    <phoneticPr fontId="4"/>
  </si>
  <si>
    <t>kW(W)</t>
    <phoneticPr fontId="4"/>
  </si>
  <si>
    <t>仕　　様</t>
    <rPh sb="0" eb="1">
      <t>シ</t>
    </rPh>
    <rPh sb="3" eb="4">
      <t>サマ</t>
    </rPh>
    <phoneticPr fontId="4"/>
  </si>
  <si>
    <t>備　　考</t>
    <rPh sb="0" eb="1">
      <t>ビ</t>
    </rPh>
    <rPh sb="3" eb="4">
      <t>コウ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</si>
</sst>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76" formatCode="#,##0_);\(#,##0\)"/>
    <numFmt numFmtId="177" formatCode="[&lt;=999]000;[&lt;=99999]000\-00;000\-0000"/>
    <numFmt numFmtId="178" formatCode="0.000"/>
    <numFmt numFmtId="179" formatCode="0.0"/>
    <numFmt numFmtId="180" formatCode="0_);[Red]\(0\)"/>
    <numFmt numFmtId="181" formatCode="0.00_);[Red]\(0.00\)"/>
    <numFmt numFmtId="182" formatCode="0.0_ "/>
    <numFmt numFmtId="183" formatCode="0.00_ "/>
    <numFmt numFmtId="184" formatCode="0_ "/>
    <numFmt numFmtId="185" formatCode="0.000_ "/>
    <numFmt numFmtId="186" formatCode="#,##0_);[Red]\(#,##0\)"/>
    <numFmt numFmtId="187" formatCode="#,##0.0_ "/>
    <numFmt numFmtId="188" formatCode="#,##0.0;[Red]\-#,##0.0"/>
    <numFmt numFmtId="189" formatCode="0.0&quot;kW&quot;"/>
    <numFmt numFmtId="190" formatCode="#,##0.00_ "/>
    <numFmt numFmtId="191" formatCode="0.0_);[Red]\(0.0\)"/>
    <numFmt numFmtId="192" formatCode="0.00&quot;kW&quot;"/>
    <numFmt numFmtId="193" formatCode="0&quot;%&quot;"/>
    <numFmt numFmtId="194" formatCode="0&quot;℃&quot;"/>
    <numFmt numFmtId="196" formatCode="0&quot;h&quot;"/>
    <numFmt numFmtId="197" formatCode="0.0\ &quot;㎾&quot;"/>
    <numFmt numFmtId="198" formatCode="0.00\ &quot;㎾&quot;"/>
    <numFmt numFmtId="199" formatCode="0\ &quot;℃&quot;"/>
    <numFmt numFmtId="201" formatCode="0.0&quot;m&quot;"/>
    <numFmt numFmtId="205" formatCode="General&quot;階&quot;"/>
    <numFmt numFmtId="206" formatCode="General&quot; A&quot;"/>
  </numFmts>
  <fonts count="77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7"/>
      <name val="ＭＳ Ｐゴシック"/>
      <family val="3"/>
      <charset val="128"/>
    </font>
    <font>
      <b/>
      <sz val="9"/>
      <name val="ＭＳ Ｐゴシック"/>
      <family val="3"/>
      <charset val="128"/>
    </font>
    <font>
      <b/>
      <sz val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5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color indexed="14"/>
      <name val="ＭＳ Ｐゴシック"/>
      <family val="3"/>
      <charset val="128"/>
    </font>
    <font>
      <sz val="9"/>
      <color indexed="20"/>
      <name val="ＭＳ Ｐゴシック"/>
      <family val="3"/>
      <charset val="128"/>
    </font>
    <font>
      <sz val="9"/>
      <color indexed="48"/>
      <name val="ＭＳ Ｐゴシック"/>
      <family val="3"/>
      <charset val="128"/>
    </font>
    <font>
      <sz val="9"/>
      <color indexed="52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b/>
      <sz val="8"/>
      <color indexed="12"/>
      <name val="ＭＳ Ｐゴシック"/>
      <family val="3"/>
      <charset val="128"/>
    </font>
    <font>
      <vertAlign val="superscript"/>
      <sz val="8"/>
      <name val="ＭＳ Ｐゴシック"/>
      <family val="3"/>
      <charset val="128"/>
    </font>
    <font>
      <sz val="12"/>
      <color indexed="12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indexed="6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1"/>
      <color rgb="FF0070C0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8"/>
      <color theme="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bscript"/>
      <sz val="8"/>
      <name val="ＭＳ Ｐゴシック"/>
      <family val="3"/>
      <charset val="128"/>
      <scheme val="minor"/>
    </font>
    <font>
      <b/>
      <sz val="7"/>
      <color rgb="FF333333"/>
      <name val="メイリオ"/>
      <family val="3"/>
      <charset val="128"/>
    </font>
    <font>
      <sz val="7"/>
      <name val="メイリオ"/>
      <family val="3"/>
      <charset val="128"/>
    </font>
    <font>
      <sz val="8"/>
      <color theme="2" tint="-0.249977111117893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0"/>
      <name val="ＭＳ ゴシック"/>
      <family val="2"/>
      <charset val="128"/>
    </font>
    <font>
      <sz val="11"/>
      <name val="ＭＳ ゴシック"/>
      <family val="2"/>
      <charset val="128"/>
    </font>
    <font>
      <sz val="10.5"/>
      <name val="ＭＳ ゴシック"/>
      <family val="2"/>
      <charset val="128"/>
    </font>
    <font>
      <sz val="6"/>
      <name val="ＭＳ ゴシック"/>
      <family val="2"/>
      <charset val="128"/>
    </font>
    <font>
      <sz val="10.5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name val="ＭＳ 明朝"/>
      <family val="1"/>
      <charset val="128"/>
    </font>
    <font>
      <sz val="28"/>
      <color rgb="FFFF0000"/>
      <name val="ＭＳ 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FCC"/>
        <bgColor indexed="64"/>
      </patternFill>
    </fill>
  </fills>
  <borders count="130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 style="hair">
        <color indexed="64"/>
      </right>
      <top style="medium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</borders>
  <cellStyleXfs count="49">
    <xf numFmtId="0" fontId="0" fillId="0" borderId="0"/>
    <xf numFmtId="0" fontId="12" fillId="2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20" borderId="1" applyNumberForma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2" fillId="22" borderId="2" applyNumberFormat="0" applyFont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23" borderId="4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21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25" fillId="23" borderId="9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7" borderId="4" applyNumberFormat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51" fillId="0" borderId="0"/>
    <xf numFmtId="38" fontId="5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63" fillId="0" borderId="0">
      <alignment vertical="center"/>
    </xf>
    <xf numFmtId="38" fontId="63" fillId="0" borderId="0" applyFont="0" applyFill="0" applyBorder="0" applyAlignment="0" applyProtection="0">
      <alignment vertical="center"/>
    </xf>
  </cellStyleXfs>
  <cellXfs count="878">
    <xf numFmtId="0" fontId="0" fillId="0" borderId="0" xfId="0"/>
    <xf numFmtId="0" fontId="3" fillId="0" borderId="0" xfId="0" applyFont="1"/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6" fontId="7" fillId="0" borderId="10" xfId="0" applyNumberFormat="1" applyFont="1" applyBorder="1" applyAlignment="1">
      <alignment horizontal="center"/>
    </xf>
    <xf numFmtId="176" fontId="7" fillId="0" borderId="11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10" xfId="0" applyBorder="1"/>
    <xf numFmtId="0" fontId="8" fillId="0" borderId="22" xfId="0" applyFont="1" applyBorder="1" applyAlignment="1">
      <alignment horizontal="center" vertical="center"/>
    </xf>
    <xf numFmtId="0" fontId="7" fillId="0" borderId="22" xfId="0" applyFont="1" applyBorder="1" applyAlignment="1">
      <alignment vertical="center"/>
    </xf>
    <xf numFmtId="0" fontId="7" fillId="0" borderId="2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4" fillId="0" borderId="22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/>
    </xf>
    <xf numFmtId="0" fontId="7" fillId="0" borderId="24" xfId="0" applyFont="1" applyBorder="1" applyAlignment="1">
      <alignment horizontal="left" vertical="center"/>
    </xf>
    <xf numFmtId="0" fontId="9" fillId="0" borderId="22" xfId="0" applyFont="1" applyBorder="1" applyAlignment="1">
      <alignment horizontal="center" vertical="center"/>
    </xf>
    <xf numFmtId="179" fontId="33" fillId="0" borderId="22" xfId="0" applyNumberFormat="1" applyFont="1" applyBorder="1" applyAlignment="1">
      <alignment horizontal="center" vertical="center"/>
    </xf>
    <xf numFmtId="179" fontId="8" fillId="0" borderId="22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178" fontId="8" fillId="0" borderId="22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center"/>
    </xf>
    <xf numFmtId="0" fontId="32" fillId="0" borderId="22" xfId="0" applyFont="1" applyBorder="1" applyAlignment="1">
      <alignment horizontal="center" vertical="center"/>
    </xf>
    <xf numFmtId="0" fontId="33" fillId="0" borderId="22" xfId="0" applyFont="1" applyBorder="1" applyAlignment="1">
      <alignment horizontal="center" vertical="center"/>
    </xf>
    <xf numFmtId="1" fontId="8" fillId="0" borderId="22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0" fontId="7" fillId="0" borderId="22" xfId="0" applyFont="1" applyBorder="1" applyAlignment="1">
      <alignment horizontal="left" vertical="center"/>
    </xf>
    <xf numFmtId="179" fontId="10" fillId="0" borderId="22" xfId="0" applyNumberFormat="1" applyFont="1" applyBorder="1" applyAlignment="1">
      <alignment horizontal="center" vertical="center"/>
    </xf>
    <xf numFmtId="0" fontId="7" fillId="0" borderId="0" xfId="0" applyFont="1"/>
    <xf numFmtId="0" fontId="7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 vertical="center"/>
    </xf>
    <xf numFmtId="0" fontId="8" fillId="24" borderId="22" xfId="0" applyFont="1" applyFill="1" applyBorder="1" applyAlignment="1">
      <alignment horizontal="center" vertical="center"/>
    </xf>
    <xf numFmtId="179" fontId="7" fillId="0" borderId="22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10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/>
    </xf>
    <xf numFmtId="0" fontId="7" fillId="0" borderId="25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181" fontId="3" fillId="0" borderId="0" xfId="0" applyNumberFormat="1" applyFont="1"/>
    <xf numFmtId="181" fontId="8" fillId="0" borderId="25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81" fontId="11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176" fontId="7" fillId="0" borderId="22" xfId="0" applyNumberFormat="1" applyFont="1" applyBorder="1" applyAlignment="1">
      <alignment horizontal="center"/>
    </xf>
    <xf numFmtId="176" fontId="7" fillId="0" borderId="23" xfId="0" applyNumberFormat="1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176" fontId="7" fillId="0" borderId="24" xfId="0" applyNumberFormat="1" applyFont="1" applyBorder="1" applyAlignment="1">
      <alignment horizontal="center"/>
    </xf>
    <xf numFmtId="176" fontId="7" fillId="0" borderId="21" xfId="0" applyNumberFormat="1" applyFont="1" applyBorder="1" applyAlignment="1">
      <alignment horizontal="center"/>
    </xf>
    <xf numFmtId="176" fontId="4" fillId="0" borderId="22" xfId="0" applyNumberFormat="1" applyFont="1" applyBorder="1" applyAlignment="1">
      <alignment horizontal="center"/>
    </xf>
    <xf numFmtId="181" fontId="4" fillId="0" borderId="22" xfId="0" applyNumberFormat="1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3" fillId="0" borderId="21" xfId="0" applyFont="1" applyBorder="1"/>
    <xf numFmtId="0" fontId="7" fillId="0" borderId="33" xfId="0" applyFont="1" applyBorder="1" applyAlignment="1">
      <alignment horizontal="center"/>
    </xf>
    <xf numFmtId="176" fontId="7" fillId="0" borderId="13" xfId="0" applyNumberFormat="1" applyFont="1" applyBorder="1" applyAlignment="1">
      <alignment horizontal="center"/>
    </xf>
    <xf numFmtId="176" fontId="7" fillId="0" borderId="12" xfId="0" applyNumberFormat="1" applyFont="1" applyBorder="1" applyAlignment="1">
      <alignment horizontal="center"/>
    </xf>
    <xf numFmtId="181" fontId="7" fillId="0" borderId="12" xfId="0" applyNumberFormat="1" applyFont="1" applyBorder="1" applyAlignment="1">
      <alignment horizontal="center"/>
    </xf>
    <xf numFmtId="176" fontId="7" fillId="0" borderId="33" xfId="0" applyNumberFormat="1" applyFont="1" applyBorder="1" applyAlignment="1">
      <alignment horizontal="center"/>
    </xf>
    <xf numFmtId="176" fontId="7" fillId="0" borderId="34" xfId="0" applyNumberFormat="1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176" fontId="7" fillId="0" borderId="35" xfId="0" applyNumberFormat="1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37" fillId="0" borderId="39" xfId="0" applyFont="1" applyBorder="1" applyAlignment="1">
      <alignment horizontal="center" vertical="center"/>
    </xf>
    <xf numFmtId="0" fontId="3" fillId="0" borderId="0" xfId="0" quotePrefix="1" applyFont="1" applyAlignment="1">
      <alignment vertical="top"/>
    </xf>
    <xf numFmtId="0" fontId="8" fillId="25" borderId="22" xfId="0" applyFont="1" applyFill="1" applyBorder="1" applyAlignment="1">
      <alignment horizontal="center" vertical="center"/>
    </xf>
    <xf numFmtId="38" fontId="8" fillId="25" borderId="22" xfId="0" applyNumberFormat="1" applyFont="1" applyFill="1" applyBorder="1" applyAlignment="1">
      <alignment horizontal="center" vertical="center"/>
    </xf>
    <xf numFmtId="179" fontId="8" fillId="25" borderId="22" xfId="0" applyNumberFormat="1" applyFont="1" applyFill="1" applyBorder="1" applyAlignment="1">
      <alignment horizontal="center" vertical="center"/>
    </xf>
    <xf numFmtId="178" fontId="8" fillId="25" borderId="22" xfId="0" applyNumberFormat="1" applyFont="1" applyFill="1" applyBorder="1" applyAlignment="1">
      <alignment horizontal="center" vertical="center"/>
    </xf>
    <xf numFmtId="1" fontId="8" fillId="25" borderId="22" xfId="0" applyNumberFormat="1" applyFont="1" applyFill="1" applyBorder="1" applyAlignment="1">
      <alignment horizontal="center" vertical="center"/>
    </xf>
    <xf numFmtId="2" fontId="8" fillId="25" borderId="22" xfId="0" applyNumberFormat="1" applyFont="1" applyFill="1" applyBorder="1" applyAlignment="1">
      <alignment horizontal="center" vertical="center"/>
    </xf>
    <xf numFmtId="0" fontId="36" fillId="25" borderId="22" xfId="0" applyFont="1" applyFill="1" applyBorder="1" applyAlignment="1">
      <alignment horizontal="center" vertical="center"/>
    </xf>
    <xf numFmtId="0" fontId="35" fillId="25" borderId="22" xfId="0" applyFont="1" applyFill="1" applyBorder="1" applyAlignment="1">
      <alignment horizontal="center" vertical="center"/>
    </xf>
    <xf numFmtId="185" fontId="29" fillId="25" borderId="22" xfId="0" applyNumberFormat="1" applyFont="1" applyFill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5" fontId="30" fillId="25" borderId="22" xfId="0" applyNumberFormat="1" applyFont="1" applyFill="1" applyBorder="1" applyAlignment="1">
      <alignment horizontal="center" vertical="center"/>
    </xf>
    <xf numFmtId="188" fontId="8" fillId="25" borderId="22" xfId="0" applyNumberFormat="1" applyFont="1" applyFill="1" applyBorder="1" applyAlignment="1">
      <alignment horizontal="center" vertical="center"/>
    </xf>
    <xf numFmtId="176" fontId="8" fillId="0" borderId="31" xfId="0" applyNumberFormat="1" applyFont="1" applyBorder="1" applyAlignment="1">
      <alignment horizontal="center"/>
    </xf>
    <xf numFmtId="0" fontId="40" fillId="0" borderId="0" xfId="0" applyFont="1"/>
    <xf numFmtId="0" fontId="45" fillId="0" borderId="0" xfId="0" applyFont="1"/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8" fillId="0" borderId="24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79" fontId="8" fillId="0" borderId="24" xfId="0" applyNumberFormat="1" applyFont="1" applyBorder="1" applyAlignment="1">
      <alignment horizontal="center" vertical="center"/>
    </xf>
    <xf numFmtId="0" fontId="0" fillId="0" borderId="24" xfId="0" applyBorder="1"/>
    <xf numFmtId="0" fontId="46" fillId="0" borderId="0" xfId="0" applyFont="1"/>
    <xf numFmtId="0" fontId="8" fillId="0" borderId="22" xfId="0" applyFont="1" applyBorder="1" applyAlignment="1">
      <alignment horizontal="left" vertical="center"/>
    </xf>
    <xf numFmtId="0" fontId="47" fillId="0" borderId="22" xfId="0" applyFont="1" applyBorder="1" applyAlignment="1">
      <alignment vertical="center"/>
    </xf>
    <xf numFmtId="40" fontId="8" fillId="25" borderId="22" xfId="0" applyNumberFormat="1" applyFont="1" applyFill="1" applyBorder="1" applyAlignment="1">
      <alignment horizontal="center" vertical="center"/>
    </xf>
    <xf numFmtId="0" fontId="42" fillId="0" borderId="10" xfId="0" applyFont="1" applyBorder="1" applyAlignment="1">
      <alignment horizontal="center"/>
    </xf>
    <xf numFmtId="0" fontId="48" fillId="0" borderId="22" xfId="0" applyFont="1" applyBorder="1" applyAlignment="1">
      <alignment vertical="center"/>
    </xf>
    <xf numFmtId="0" fontId="8" fillId="0" borderId="23" xfId="0" applyFont="1" applyBorder="1"/>
    <xf numFmtId="0" fontId="0" fillId="0" borderId="41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8" xfId="0" applyBorder="1"/>
    <xf numFmtId="179" fontId="10" fillId="0" borderId="38" xfId="0" applyNumberFormat="1" applyFont="1" applyBorder="1" applyAlignment="1">
      <alignment horizontal="center" vertical="center"/>
    </xf>
    <xf numFmtId="0" fontId="8" fillId="0" borderId="22" xfId="0" applyFont="1" applyBorder="1"/>
    <xf numFmtId="0" fontId="8" fillId="0" borderId="10" xfId="0" applyFont="1" applyBorder="1"/>
    <xf numFmtId="0" fontId="7" fillId="0" borderId="23" xfId="0" applyFont="1" applyBorder="1" applyAlignment="1">
      <alignment horizontal="left"/>
    </xf>
    <xf numFmtId="3" fontId="30" fillId="25" borderId="22" xfId="0" applyNumberFormat="1" applyFont="1" applyFill="1" applyBorder="1" applyAlignment="1">
      <alignment horizontal="center" vertical="center"/>
    </xf>
    <xf numFmtId="2" fontId="8" fillId="25" borderId="23" xfId="0" applyNumberFormat="1" applyFont="1" applyFill="1" applyBorder="1" applyAlignment="1">
      <alignment horizontal="center"/>
    </xf>
    <xf numFmtId="38" fontId="8" fillId="26" borderId="0" xfId="0" applyNumberFormat="1" applyFont="1" applyFill="1" applyAlignment="1">
      <alignment horizontal="center" vertical="center"/>
    </xf>
    <xf numFmtId="0" fontId="42" fillId="0" borderId="24" xfId="0" applyFont="1" applyBorder="1"/>
    <xf numFmtId="1" fontId="8" fillId="27" borderId="53" xfId="0" applyNumberFormat="1" applyFont="1" applyFill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85" fontId="8" fillId="25" borderId="22" xfId="0" applyNumberFormat="1" applyFont="1" applyFill="1" applyBorder="1" applyAlignment="1">
      <alignment horizontal="center" vertical="center"/>
    </xf>
    <xf numFmtId="14" fontId="7" fillId="24" borderId="15" xfId="0" quotePrefix="1" applyNumberFormat="1" applyFont="1" applyFill="1" applyBorder="1" applyAlignment="1">
      <alignment horizontal="center" vertical="center"/>
    </xf>
    <xf numFmtId="0" fontId="49" fillId="0" borderId="0" xfId="0" applyFont="1" applyAlignment="1">
      <alignment vertical="center"/>
    </xf>
    <xf numFmtId="182" fontId="0" fillId="0" borderId="0" xfId="0" applyNumberFormat="1" applyAlignment="1">
      <alignment vertical="center"/>
    </xf>
    <xf numFmtId="179" fontId="10" fillId="0" borderId="0" xfId="0" applyNumberFormat="1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49" fontId="8" fillId="0" borderId="16" xfId="0" applyNumberFormat="1" applyFont="1" applyBorder="1" applyAlignment="1">
      <alignment horizontal="center"/>
    </xf>
    <xf numFmtId="49" fontId="8" fillId="0" borderId="21" xfId="0" applyNumberFormat="1" applyFont="1" applyBorder="1" applyAlignment="1">
      <alignment horizontal="center"/>
    </xf>
    <xf numFmtId="184" fontId="7" fillId="0" borderId="31" xfId="0" applyNumberFormat="1" applyFont="1" applyBorder="1" applyAlignment="1">
      <alignment horizontal="center" vertical="center"/>
    </xf>
    <xf numFmtId="184" fontId="7" fillId="0" borderId="57" xfId="0" applyNumberFormat="1" applyFont="1" applyBorder="1" applyAlignment="1">
      <alignment horizontal="center" vertical="center"/>
    </xf>
    <xf numFmtId="0" fontId="50" fillId="21" borderId="22" xfId="27" applyFont="1" applyBorder="1" applyAlignment="1">
      <alignment horizontal="center" vertical="center"/>
    </xf>
    <xf numFmtId="38" fontId="50" fillId="21" borderId="22" xfId="27" applyNumberFormat="1" applyFont="1" applyBorder="1" applyAlignment="1">
      <alignment horizontal="center" vertical="center"/>
    </xf>
    <xf numFmtId="179" fontId="50" fillId="21" borderId="22" xfId="27" applyNumberFormat="1" applyFont="1" applyBorder="1" applyAlignment="1">
      <alignment horizontal="center" vertical="center"/>
    </xf>
    <xf numFmtId="38" fontId="50" fillId="26" borderId="22" xfId="0" applyNumberFormat="1" applyFont="1" applyFill="1" applyBorder="1" applyAlignment="1">
      <alignment horizontal="center" vertical="center"/>
    </xf>
    <xf numFmtId="184" fontId="7" fillId="0" borderId="0" xfId="0" applyNumberFormat="1" applyFont="1" applyAlignment="1">
      <alignment horizontal="center" vertical="center"/>
    </xf>
    <xf numFmtId="187" fontId="7" fillId="0" borderId="0" xfId="0" applyNumberFormat="1" applyFont="1" applyAlignment="1">
      <alignment horizontal="center" vertical="center"/>
    </xf>
    <xf numFmtId="187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82" fontId="37" fillId="0" borderId="0" xfId="0" applyNumberFormat="1" applyFont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0" fontId="3" fillId="0" borderId="68" xfId="0" applyFont="1" applyBorder="1"/>
    <xf numFmtId="0" fontId="7" fillId="0" borderId="68" xfId="0" applyFont="1" applyBorder="1" applyAlignment="1">
      <alignment horizontal="center"/>
    </xf>
    <xf numFmtId="0" fontId="39" fillId="0" borderId="33" xfId="0" applyFont="1" applyBorder="1" applyAlignment="1">
      <alignment horizontal="center"/>
    </xf>
    <xf numFmtId="0" fontId="5" fillId="0" borderId="55" xfId="0" applyFont="1" applyBorder="1" applyAlignment="1">
      <alignment horizontal="right" vertical="center"/>
    </xf>
    <xf numFmtId="0" fontId="5" fillId="0" borderId="54" xfId="0" applyFont="1" applyBorder="1" applyAlignment="1">
      <alignment horizontal="right" vertical="center"/>
    </xf>
    <xf numFmtId="179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5" fillId="28" borderId="54" xfId="0" applyFont="1" applyFill="1" applyBorder="1" applyAlignment="1">
      <alignment horizontal="right" vertical="center"/>
    </xf>
    <xf numFmtId="49" fontId="8" fillId="28" borderId="21" xfId="0" applyNumberFormat="1" applyFont="1" applyFill="1" applyBorder="1" applyAlignment="1">
      <alignment horizontal="center"/>
    </xf>
    <xf numFmtId="184" fontId="7" fillId="28" borderId="31" xfId="0" applyNumberFormat="1" applyFont="1" applyFill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31" xfId="0" applyBorder="1" applyAlignment="1">
      <alignment vertical="center"/>
    </xf>
    <xf numFmtId="49" fontId="7" fillId="0" borderId="20" xfId="0" applyNumberFormat="1" applyFont="1" applyBorder="1" applyAlignment="1">
      <alignment horizontal="center"/>
    </xf>
    <xf numFmtId="180" fontId="7" fillId="0" borderId="40" xfId="0" applyNumberFormat="1" applyFont="1" applyBorder="1" applyAlignment="1">
      <alignment horizontal="center" vertical="center"/>
    </xf>
    <xf numFmtId="187" fontId="7" fillId="0" borderId="22" xfId="0" applyNumberFormat="1" applyFont="1" applyBorder="1" applyAlignment="1">
      <alignment horizontal="center" vertical="center"/>
    </xf>
    <xf numFmtId="187" fontId="7" fillId="0" borderId="24" xfId="0" applyNumberFormat="1" applyFont="1" applyBorder="1" applyAlignment="1">
      <alignment horizontal="center" vertical="center"/>
    </xf>
    <xf numFmtId="187" fontId="7" fillId="0" borderId="10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186" fontId="7" fillId="0" borderId="22" xfId="33" applyNumberFormat="1" applyFont="1" applyFill="1" applyBorder="1" applyAlignment="1">
      <alignment horizontal="center" vertical="center"/>
    </xf>
    <xf numFmtId="183" fontId="7" fillId="0" borderId="17" xfId="0" applyNumberFormat="1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78" fontId="7" fillId="0" borderId="22" xfId="0" applyNumberFormat="1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7" fillId="0" borderId="20" xfId="0" applyNumberFormat="1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2" fontId="7" fillId="0" borderId="51" xfId="0" applyNumberFormat="1" applyFont="1" applyBorder="1" applyAlignment="1">
      <alignment horizontal="center" vertical="center"/>
    </xf>
    <xf numFmtId="180" fontId="7" fillId="0" borderId="20" xfId="0" applyNumberFormat="1" applyFont="1" applyBorder="1" applyAlignment="1">
      <alignment horizontal="center" vertical="center"/>
    </xf>
    <xf numFmtId="49" fontId="7" fillId="28" borderId="10" xfId="0" applyNumberFormat="1" applyFont="1" applyFill="1" applyBorder="1" applyAlignment="1">
      <alignment horizontal="center"/>
    </xf>
    <xf numFmtId="180" fontId="7" fillId="28" borderId="23" xfId="0" applyNumberFormat="1" applyFont="1" applyFill="1" applyBorder="1" applyAlignment="1">
      <alignment horizontal="center" vertical="center"/>
    </xf>
    <xf numFmtId="181" fontId="7" fillId="28" borderId="23" xfId="0" applyNumberFormat="1" applyFont="1" applyFill="1" applyBorder="1" applyAlignment="1">
      <alignment horizontal="center" vertical="center"/>
    </xf>
    <xf numFmtId="187" fontId="7" fillId="28" borderId="24" xfId="0" applyNumberFormat="1" applyFont="1" applyFill="1" applyBorder="1" applyAlignment="1">
      <alignment horizontal="center" vertical="center"/>
    </xf>
    <xf numFmtId="187" fontId="7" fillId="28" borderId="22" xfId="0" applyNumberFormat="1" applyFont="1" applyFill="1" applyBorder="1" applyAlignment="1">
      <alignment horizontal="center" vertical="center"/>
    </xf>
    <xf numFmtId="187" fontId="7" fillId="28" borderId="10" xfId="0" applyNumberFormat="1" applyFont="1" applyFill="1" applyBorder="1" applyAlignment="1">
      <alignment horizontal="center" vertical="center"/>
    </xf>
    <xf numFmtId="0" fontId="7" fillId="28" borderId="21" xfId="0" applyFont="1" applyFill="1" applyBorder="1" applyAlignment="1">
      <alignment horizontal="center" vertical="center"/>
    </xf>
    <xf numFmtId="0" fontId="7" fillId="28" borderId="22" xfId="0" applyFont="1" applyFill="1" applyBorder="1" applyAlignment="1">
      <alignment horizontal="center" vertical="center"/>
    </xf>
    <xf numFmtId="186" fontId="7" fillId="28" borderId="22" xfId="33" applyNumberFormat="1" applyFont="1" applyFill="1" applyBorder="1" applyAlignment="1">
      <alignment horizontal="center" vertical="center"/>
    </xf>
    <xf numFmtId="183" fontId="7" fillId="28" borderId="22" xfId="0" applyNumberFormat="1" applyFont="1" applyFill="1" applyBorder="1" applyAlignment="1">
      <alignment horizontal="center" vertical="center"/>
    </xf>
    <xf numFmtId="0" fontId="7" fillId="28" borderId="23" xfId="0" applyFont="1" applyFill="1" applyBorder="1" applyAlignment="1">
      <alignment horizontal="center" vertical="center"/>
    </xf>
    <xf numFmtId="0" fontId="7" fillId="28" borderId="10" xfId="0" applyFont="1" applyFill="1" applyBorder="1" applyAlignment="1">
      <alignment horizontal="center" vertical="center"/>
    </xf>
    <xf numFmtId="178" fontId="7" fillId="28" borderId="22" xfId="0" applyNumberFormat="1" applyFont="1" applyFill="1" applyBorder="1" applyAlignment="1">
      <alignment horizontal="center" vertical="center"/>
    </xf>
    <xf numFmtId="0" fontId="7" fillId="28" borderId="51" xfId="0" applyFont="1" applyFill="1" applyBorder="1" applyAlignment="1">
      <alignment horizontal="center" vertical="center"/>
    </xf>
    <xf numFmtId="0" fontId="7" fillId="28" borderId="31" xfId="0" applyFont="1" applyFill="1" applyBorder="1" applyAlignment="1">
      <alignment horizontal="center" vertical="center"/>
    </xf>
    <xf numFmtId="0" fontId="7" fillId="28" borderId="32" xfId="0" applyFont="1" applyFill="1" applyBorder="1" applyAlignment="1">
      <alignment horizontal="center" vertical="center"/>
    </xf>
    <xf numFmtId="2" fontId="7" fillId="28" borderId="51" xfId="0" applyNumberFormat="1" applyFont="1" applyFill="1" applyBorder="1" applyAlignment="1">
      <alignment horizontal="center" vertical="center"/>
    </xf>
    <xf numFmtId="180" fontId="7" fillId="28" borderId="10" xfId="0" applyNumberFormat="1" applyFont="1" applyFill="1" applyBorder="1" applyAlignment="1">
      <alignment horizontal="center" vertical="center"/>
    </xf>
    <xf numFmtId="49" fontId="7" fillId="0" borderId="10" xfId="0" applyNumberFormat="1" applyFont="1" applyBorder="1" applyAlignment="1">
      <alignment horizontal="center"/>
    </xf>
    <xf numFmtId="180" fontId="7" fillId="0" borderId="23" xfId="0" applyNumberFormat="1" applyFont="1" applyBorder="1" applyAlignment="1">
      <alignment horizontal="center" vertical="center"/>
    </xf>
    <xf numFmtId="181" fontId="7" fillId="0" borderId="23" xfId="0" applyNumberFormat="1" applyFont="1" applyBorder="1" applyAlignment="1">
      <alignment horizontal="center" vertical="center"/>
    </xf>
    <xf numFmtId="183" fontId="7" fillId="0" borderId="22" xfId="0" applyNumberFormat="1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180" fontId="7" fillId="0" borderId="10" xfId="0" applyNumberFormat="1" applyFont="1" applyBorder="1" applyAlignment="1">
      <alignment horizontal="center" vertical="center"/>
    </xf>
    <xf numFmtId="182" fontId="7" fillId="28" borderId="49" xfId="0" applyNumberFormat="1" applyFont="1" applyFill="1" applyBorder="1" applyAlignment="1">
      <alignment horizontal="center" vertical="center"/>
    </xf>
    <xf numFmtId="0" fontId="7" fillId="28" borderId="48" xfId="0" applyFont="1" applyFill="1" applyBorder="1" applyAlignment="1">
      <alignment horizontal="center" vertical="center"/>
    </xf>
    <xf numFmtId="0" fontId="7" fillId="28" borderId="18" xfId="0" applyFont="1" applyFill="1" applyBorder="1" applyAlignment="1">
      <alignment horizontal="center" vertical="center"/>
    </xf>
    <xf numFmtId="0" fontId="7" fillId="28" borderId="19" xfId="0" applyFont="1" applyFill="1" applyBorder="1" applyAlignment="1">
      <alignment horizontal="center" vertical="center"/>
    </xf>
    <xf numFmtId="0" fontId="7" fillId="28" borderId="46" xfId="0" applyFont="1" applyFill="1" applyBorder="1" applyAlignment="1">
      <alignment horizontal="center" vertical="center"/>
    </xf>
    <xf numFmtId="0" fontId="7" fillId="28" borderId="50" xfId="0" applyFont="1" applyFill="1" applyBorder="1" applyAlignment="1">
      <alignment horizontal="center" vertical="center"/>
    </xf>
    <xf numFmtId="0" fontId="0" fillId="0" borderId="72" xfId="0" applyBorder="1"/>
    <xf numFmtId="0" fontId="0" fillId="0" borderId="73" xfId="0" applyBorder="1"/>
    <xf numFmtId="0" fontId="7" fillId="0" borderId="73" xfId="0" applyFont="1" applyBorder="1"/>
    <xf numFmtId="0" fontId="4" fillId="0" borderId="23" xfId="0" applyFont="1" applyBorder="1" applyAlignment="1">
      <alignment horizontal="center"/>
    </xf>
    <xf numFmtId="0" fontId="50" fillId="0" borderId="22" xfId="27" applyFont="1" applyFill="1" applyBorder="1" applyAlignment="1">
      <alignment horizontal="center" vertical="center"/>
    </xf>
    <xf numFmtId="179" fontId="50" fillId="0" borderId="22" xfId="27" applyNumberFormat="1" applyFont="1" applyFill="1" applyBorder="1" applyAlignment="1">
      <alignment horizontal="left" vertical="center"/>
    </xf>
    <xf numFmtId="189" fontId="48" fillId="0" borderId="10" xfId="0" applyNumberFormat="1" applyFont="1" applyBorder="1"/>
    <xf numFmtId="0" fontId="0" fillId="0" borderId="59" xfId="0" applyBorder="1"/>
    <xf numFmtId="0" fontId="5" fillId="0" borderId="0" xfId="0" applyFont="1"/>
    <xf numFmtId="2" fontId="5" fillId="0" borderId="0" xfId="0" applyNumberFormat="1" applyFont="1"/>
    <xf numFmtId="14" fontId="0" fillId="0" borderId="61" xfId="0" applyNumberFormat="1" applyBorder="1"/>
    <xf numFmtId="0" fontId="5" fillId="0" borderId="74" xfId="0" applyFont="1" applyBorder="1"/>
    <xf numFmtId="0" fontId="5" fillId="0" borderId="49" xfId="0" applyFont="1" applyBorder="1" applyAlignment="1">
      <alignment horizontal="center" vertical="center"/>
    </xf>
    <xf numFmtId="179" fontId="5" fillId="0" borderId="19" xfId="0" applyNumberFormat="1" applyFont="1" applyBorder="1" applyAlignment="1">
      <alignment horizontal="center"/>
    </xf>
    <xf numFmtId="0" fontId="5" fillId="0" borderId="21" xfId="0" applyFont="1" applyBorder="1" applyAlignment="1">
      <alignment horizontal="center" vertical="center"/>
    </xf>
    <xf numFmtId="0" fontId="5" fillId="0" borderId="21" xfId="0" applyFont="1" applyBorder="1"/>
    <xf numFmtId="0" fontId="5" fillId="0" borderId="23" xfId="0" applyFont="1" applyBorder="1"/>
    <xf numFmtId="0" fontId="5" fillId="0" borderId="10" xfId="0" applyFont="1" applyBorder="1"/>
    <xf numFmtId="0" fontId="5" fillId="0" borderId="13" xfId="0" applyFont="1" applyBorder="1"/>
    <xf numFmtId="0" fontId="5" fillId="0" borderId="34" xfId="0" applyFont="1" applyBorder="1"/>
    <xf numFmtId="0" fontId="5" fillId="0" borderId="33" xfId="0" applyFont="1" applyBorder="1"/>
    <xf numFmtId="179" fontId="5" fillId="0" borderId="19" xfId="0" applyNumberFormat="1" applyFont="1" applyBorder="1" applyAlignment="1">
      <alignment horizontal="center" vertical="center"/>
    </xf>
    <xf numFmtId="179" fontId="5" fillId="0" borderId="20" xfId="0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5" fillId="0" borderId="64" xfId="0" applyFont="1" applyBorder="1" applyAlignment="1">
      <alignment vertical="center"/>
    </xf>
    <xf numFmtId="0" fontId="5" fillId="0" borderId="64" xfId="0" applyFont="1" applyBorder="1"/>
    <xf numFmtId="0" fontId="0" fillId="0" borderId="61" xfId="0" applyBorder="1" applyAlignment="1">
      <alignment horizontal="left"/>
    </xf>
    <xf numFmtId="0" fontId="52" fillId="0" borderId="74" xfId="0" applyFont="1" applyBorder="1"/>
    <xf numFmtId="179" fontId="5" fillId="0" borderId="31" xfId="0" applyNumberFormat="1" applyFont="1" applyBorder="1" applyAlignment="1">
      <alignment horizontal="center" vertical="center"/>
    </xf>
    <xf numFmtId="179" fontId="5" fillId="0" borderId="22" xfId="0" applyNumberFormat="1" applyFont="1" applyBorder="1" applyAlignment="1">
      <alignment horizontal="center" vertical="center"/>
    </xf>
    <xf numFmtId="179" fontId="5" fillId="0" borderId="31" xfId="0" applyNumberFormat="1" applyFont="1" applyBorder="1" applyAlignment="1">
      <alignment horizontal="center"/>
    </xf>
    <xf numFmtId="179" fontId="5" fillId="0" borderId="22" xfId="0" applyNumberFormat="1" applyFont="1" applyBorder="1" applyAlignment="1">
      <alignment horizontal="center"/>
    </xf>
    <xf numFmtId="0" fontId="5" fillId="0" borderId="16" xfId="0" applyFont="1" applyBorder="1" applyAlignment="1" applyProtection="1">
      <alignment horizontal="left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Protection="1">
      <protection locked="0"/>
    </xf>
    <xf numFmtId="0" fontId="5" fillId="0" borderId="22" xfId="0" applyFont="1" applyBorder="1" applyProtection="1">
      <protection locked="0"/>
    </xf>
    <xf numFmtId="0" fontId="5" fillId="0" borderId="13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18" xfId="0" applyFont="1" applyBorder="1" applyAlignment="1" applyProtection="1">
      <alignment horizontal="left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2" fontId="5" fillId="0" borderId="18" xfId="0" applyNumberFormat="1" applyFont="1" applyBorder="1" applyAlignment="1" applyProtection="1">
      <alignment horizontal="center" vertical="center"/>
      <protection locked="0"/>
    </xf>
    <xf numFmtId="2" fontId="5" fillId="0" borderId="22" xfId="0" applyNumberFormat="1" applyFont="1" applyBorder="1" applyProtection="1">
      <protection locked="0"/>
    </xf>
    <xf numFmtId="2" fontId="5" fillId="0" borderId="12" xfId="0" applyNumberFormat="1" applyFont="1" applyBorder="1" applyProtection="1">
      <protection locked="0"/>
    </xf>
    <xf numFmtId="2" fontId="0" fillId="0" borderId="73" xfId="0" applyNumberFormat="1" applyBorder="1"/>
    <xf numFmtId="178" fontId="0" fillId="0" borderId="73" xfId="0" applyNumberFormat="1" applyBorder="1"/>
    <xf numFmtId="182" fontId="3" fillId="0" borderId="0" xfId="0" applyNumberFormat="1" applyFont="1"/>
    <xf numFmtId="182" fontId="6" fillId="0" borderId="0" xfId="0" applyNumberFormat="1" applyFont="1" applyAlignment="1">
      <alignment horizontal="left"/>
    </xf>
    <xf numFmtId="182" fontId="4" fillId="0" borderId="23" xfId="0" applyNumberFormat="1" applyFont="1" applyBorder="1" applyAlignment="1">
      <alignment horizontal="center"/>
    </xf>
    <xf numFmtId="182" fontId="7" fillId="0" borderId="10" xfId="0" applyNumberFormat="1" applyFont="1" applyBorder="1" applyAlignment="1">
      <alignment horizontal="center"/>
    </xf>
    <xf numFmtId="182" fontId="7" fillId="0" borderId="34" xfId="0" applyNumberFormat="1" applyFont="1" applyBorder="1" applyAlignment="1">
      <alignment horizontal="center"/>
    </xf>
    <xf numFmtId="182" fontId="7" fillId="0" borderId="33" xfId="0" applyNumberFormat="1" applyFont="1" applyBorder="1" applyAlignment="1">
      <alignment horizontal="center"/>
    </xf>
    <xf numFmtId="182" fontId="7" fillId="0" borderId="0" xfId="0" applyNumberFormat="1" applyFont="1" applyAlignment="1">
      <alignment horizontal="center" vertical="center"/>
    </xf>
    <xf numFmtId="182" fontId="7" fillId="0" borderId="40" xfId="0" applyNumberFormat="1" applyFont="1" applyBorder="1" applyAlignment="1">
      <alignment horizontal="center" vertical="center"/>
    </xf>
    <xf numFmtId="182" fontId="7" fillId="0" borderId="20" xfId="0" applyNumberFormat="1" applyFont="1" applyBorder="1" applyAlignment="1">
      <alignment horizontal="center" vertical="center"/>
    </xf>
    <xf numFmtId="182" fontId="7" fillId="28" borderId="23" xfId="0" applyNumberFormat="1" applyFont="1" applyFill="1" applyBorder="1" applyAlignment="1">
      <alignment horizontal="center" vertical="center"/>
    </xf>
    <xf numFmtId="182" fontId="7" fillId="28" borderId="10" xfId="0" applyNumberFormat="1" applyFont="1" applyFill="1" applyBorder="1" applyAlignment="1">
      <alignment horizontal="center" vertical="center"/>
    </xf>
    <xf numFmtId="182" fontId="7" fillId="0" borderId="23" xfId="0" applyNumberFormat="1" applyFont="1" applyBorder="1" applyAlignment="1">
      <alignment horizontal="center" vertical="center"/>
    </xf>
    <xf numFmtId="182" fontId="7" fillId="0" borderId="10" xfId="0" applyNumberFormat="1" applyFont="1" applyBorder="1" applyAlignment="1">
      <alignment horizontal="center" vertical="center"/>
    </xf>
    <xf numFmtId="2" fontId="30" fillId="25" borderId="22" xfId="0" applyNumberFormat="1" applyFont="1" applyFill="1" applyBorder="1" applyAlignment="1">
      <alignment horizontal="center" vertical="center"/>
    </xf>
    <xf numFmtId="0" fontId="42" fillId="0" borderId="0" xfId="0" applyFont="1"/>
    <xf numFmtId="0" fontId="0" fillId="0" borderId="0" xfId="0" quotePrefix="1"/>
    <xf numFmtId="0" fontId="0" fillId="0" borderId="89" xfId="0" applyBorder="1"/>
    <xf numFmtId="0" fontId="0" fillId="0" borderId="79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77" xfId="0" applyBorder="1"/>
    <xf numFmtId="0" fontId="0" fillId="0" borderId="90" xfId="0" applyBorder="1" applyAlignment="1">
      <alignment vertical="center"/>
    </xf>
    <xf numFmtId="0" fontId="0" fillId="0" borderId="91" xfId="0" applyBorder="1" applyAlignment="1">
      <alignment vertical="center"/>
    </xf>
    <xf numFmtId="0" fontId="0" fillId="0" borderId="92" xfId="0" applyBorder="1"/>
    <xf numFmtId="0" fontId="0" fillId="0" borderId="92" xfId="0" applyBorder="1" applyAlignment="1">
      <alignment vertical="center"/>
    </xf>
    <xf numFmtId="0" fontId="0" fillId="0" borderId="75" xfId="0" applyBorder="1"/>
    <xf numFmtId="0" fontId="0" fillId="0" borderId="95" xfId="0" applyBorder="1" applyAlignment="1">
      <alignment vertical="center"/>
    </xf>
    <xf numFmtId="0" fontId="0" fillId="0" borderId="61" xfId="0" applyBorder="1" applyAlignment="1">
      <alignment vertical="center"/>
    </xf>
    <xf numFmtId="0" fontId="0" fillId="0" borderId="86" xfId="0" applyBorder="1" applyAlignment="1">
      <alignment vertical="center"/>
    </xf>
    <xf numFmtId="0" fontId="0" fillId="0" borderId="94" xfId="0" applyBorder="1"/>
    <xf numFmtId="0" fontId="0" fillId="0" borderId="96" xfId="0" applyBorder="1" applyAlignment="1">
      <alignment vertical="center"/>
    </xf>
    <xf numFmtId="0" fontId="0" fillId="0" borderId="82" xfId="0" applyBorder="1" applyAlignment="1">
      <alignment vertical="center"/>
    </xf>
    <xf numFmtId="0" fontId="0" fillId="0" borderId="81" xfId="0" applyBorder="1"/>
    <xf numFmtId="0" fontId="0" fillId="0" borderId="76" xfId="0" applyBorder="1"/>
    <xf numFmtId="0" fontId="0" fillId="0" borderId="78" xfId="0" applyBorder="1"/>
    <xf numFmtId="0" fontId="0" fillId="0" borderId="86" xfId="0" applyBorder="1"/>
    <xf numFmtId="0" fontId="0" fillId="0" borderId="93" xfId="0" applyBorder="1" applyAlignment="1">
      <alignment vertical="center"/>
    </xf>
    <xf numFmtId="0" fontId="0" fillId="0" borderId="15" xfId="0" applyBorder="1" applyAlignment="1">
      <alignment vertical="center"/>
    </xf>
    <xf numFmtId="49" fontId="0" fillId="0" borderId="80" xfId="0" applyNumberFormat="1" applyBorder="1" applyAlignment="1">
      <alignment vertical="center"/>
    </xf>
    <xf numFmtId="0" fontId="0" fillId="0" borderId="89" xfId="0" applyBorder="1" applyAlignment="1">
      <alignment vertical="center"/>
    </xf>
    <xf numFmtId="0" fontId="0" fillId="0" borderId="97" xfId="0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87" xfId="0" applyBorder="1"/>
    <xf numFmtId="0" fontId="0" fillId="0" borderId="80" xfId="0" applyBorder="1"/>
    <xf numFmtId="190" fontId="7" fillId="0" borderId="18" xfId="0" applyNumberFormat="1" applyFont="1" applyBorder="1" applyAlignment="1">
      <alignment horizontal="center" vertical="center"/>
    </xf>
    <xf numFmtId="191" fontId="7" fillId="0" borderId="24" xfId="0" applyNumberFormat="1" applyFont="1" applyBorder="1" applyAlignment="1">
      <alignment horizontal="center" vertical="center"/>
    </xf>
    <xf numFmtId="40" fontId="7" fillId="0" borderId="37" xfId="33" applyNumberFormat="1" applyFont="1" applyFill="1" applyBorder="1" applyAlignment="1">
      <alignment horizontal="center" vertical="center"/>
    </xf>
    <xf numFmtId="190" fontId="7" fillId="0" borderId="22" xfId="0" applyNumberFormat="1" applyFont="1" applyBorder="1" applyAlignment="1">
      <alignment horizontal="center" vertical="center"/>
    </xf>
    <xf numFmtId="38" fontId="50" fillId="0" borderId="22" xfId="0" applyNumberFormat="1" applyFont="1" applyBorder="1" applyAlignment="1">
      <alignment horizontal="center" vertical="center"/>
    </xf>
    <xf numFmtId="179" fontId="50" fillId="0" borderId="22" xfId="27" applyNumberFormat="1" applyFont="1" applyFill="1" applyBorder="1" applyAlignment="1">
      <alignment horizontal="center" vertical="center"/>
    </xf>
    <xf numFmtId="2" fontId="8" fillId="0" borderId="22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38" fontId="50" fillId="0" borderId="0" xfId="0" applyNumberFormat="1" applyFont="1" applyAlignment="1">
      <alignment horizontal="center" vertical="center"/>
    </xf>
    <xf numFmtId="192" fontId="8" fillId="25" borderId="22" xfId="0" applyNumberFormat="1" applyFont="1" applyFill="1" applyBorder="1" applyAlignment="1">
      <alignment horizontal="center" vertical="center"/>
    </xf>
    <xf numFmtId="192" fontId="10" fillId="25" borderId="22" xfId="33" applyNumberFormat="1" applyFont="1" applyFill="1" applyBorder="1" applyAlignment="1">
      <alignment horizontal="center" vertical="center"/>
    </xf>
    <xf numFmtId="192" fontId="10" fillId="25" borderId="22" xfId="0" applyNumberFormat="1" applyFont="1" applyFill="1" applyBorder="1" applyAlignment="1">
      <alignment horizontal="center" vertical="center"/>
    </xf>
    <xf numFmtId="193" fontId="30" fillId="25" borderId="22" xfId="0" applyNumberFormat="1" applyFont="1" applyFill="1" applyBorder="1" applyAlignment="1">
      <alignment horizontal="center" vertical="center"/>
    </xf>
    <xf numFmtId="193" fontId="8" fillId="25" borderId="22" xfId="0" applyNumberFormat="1" applyFont="1" applyFill="1" applyBorder="1" applyAlignment="1">
      <alignment horizontal="center" vertical="center"/>
    </xf>
    <xf numFmtId="194" fontId="33" fillId="25" borderId="22" xfId="0" applyNumberFormat="1" applyFont="1" applyFill="1" applyBorder="1" applyAlignment="1">
      <alignment horizontal="center" vertical="center"/>
    </xf>
    <xf numFmtId="194" fontId="8" fillId="25" borderId="22" xfId="0" applyNumberFormat="1" applyFont="1" applyFill="1" applyBorder="1" applyAlignment="1">
      <alignment horizontal="center" vertical="center"/>
    </xf>
    <xf numFmtId="194" fontId="32" fillId="25" borderId="22" xfId="0" applyNumberFormat="1" applyFont="1" applyFill="1" applyBorder="1" applyAlignment="1">
      <alignment horizontal="center" vertical="center"/>
    </xf>
    <xf numFmtId="194" fontId="29" fillId="25" borderId="22" xfId="0" applyNumberFormat="1" applyFont="1" applyFill="1" applyBorder="1" applyAlignment="1">
      <alignment horizontal="center" vertical="center"/>
    </xf>
    <xf numFmtId="196" fontId="8" fillId="25" borderId="22" xfId="0" applyNumberFormat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/>
    </xf>
    <xf numFmtId="0" fontId="8" fillId="0" borderId="36" xfId="0" applyFont="1" applyBorder="1"/>
    <xf numFmtId="0" fontId="54" fillId="0" borderId="0" xfId="43" applyFont="1" applyAlignment="1">
      <alignment horizontal="center" vertical="center"/>
    </xf>
    <xf numFmtId="0" fontId="56" fillId="28" borderId="61" xfId="0" applyFont="1" applyFill="1" applyBorder="1" applyAlignment="1">
      <alignment horizontal="center" vertical="center"/>
    </xf>
    <xf numFmtId="0" fontId="56" fillId="28" borderId="61" xfId="43" applyFont="1" applyFill="1" applyBorder="1" applyAlignment="1">
      <alignment horizontal="center" vertical="center"/>
    </xf>
    <xf numFmtId="38" fontId="58" fillId="28" borderId="61" xfId="44" applyFont="1" applyFill="1" applyBorder="1" applyAlignment="1">
      <alignment horizontal="center" vertical="center"/>
    </xf>
    <xf numFmtId="0" fontId="58" fillId="0" borderId="102" xfId="43" applyFont="1" applyBorder="1" applyAlignment="1">
      <alignment horizontal="left" vertical="center"/>
    </xf>
    <xf numFmtId="0" fontId="58" fillId="0" borderId="55" xfId="43" applyFont="1" applyBorder="1" applyAlignment="1">
      <alignment vertical="center"/>
    </xf>
    <xf numFmtId="0" fontId="58" fillId="0" borderId="54" xfId="43" applyFont="1" applyBorder="1" applyAlignment="1">
      <alignment vertical="center"/>
    </xf>
    <xf numFmtId="0" fontId="58" fillId="0" borderId="69" xfId="43" applyFont="1" applyBorder="1" applyAlignment="1">
      <alignment vertical="center"/>
    </xf>
    <xf numFmtId="0" fontId="58" fillId="0" borderId="37" xfId="43" applyFont="1" applyBorder="1" applyAlignment="1">
      <alignment horizontal="left" vertical="center"/>
    </xf>
    <xf numFmtId="0" fontId="58" fillId="0" borderId="105" xfId="43" applyFont="1" applyBorder="1" applyAlignment="1">
      <alignment vertical="center"/>
    </xf>
    <xf numFmtId="0" fontId="58" fillId="0" borderId="106" xfId="43" applyFont="1" applyBorder="1" applyAlignment="1">
      <alignment vertical="center"/>
    </xf>
    <xf numFmtId="184" fontId="58" fillId="0" borderId="55" xfId="43" applyNumberFormat="1" applyFont="1" applyBorder="1" applyAlignment="1">
      <alignment vertical="center"/>
    </xf>
    <xf numFmtId="184" fontId="58" fillId="0" borderId="54" xfId="43" applyNumberFormat="1" applyFont="1" applyBorder="1" applyAlignment="1">
      <alignment vertical="center"/>
    </xf>
    <xf numFmtId="184" fontId="58" fillId="0" borderId="106" xfId="43" applyNumberFormat="1" applyFont="1" applyBorder="1" applyAlignment="1">
      <alignment vertical="center"/>
    </xf>
    <xf numFmtId="184" fontId="58" fillId="0" borderId="69" xfId="43" applyNumberFormat="1" applyFont="1" applyBorder="1" applyAlignment="1">
      <alignment vertical="center"/>
    </xf>
    <xf numFmtId="0" fontId="58" fillId="0" borderId="112" xfId="43" applyFont="1" applyBorder="1" applyAlignment="1">
      <alignment vertical="center"/>
    </xf>
    <xf numFmtId="0" fontId="60" fillId="29" borderId="116" xfId="0" applyFont="1" applyFill="1" applyBorder="1" applyAlignment="1">
      <alignment horizontal="left" vertical="top"/>
    </xf>
    <xf numFmtId="0" fontId="61" fillId="0" borderId="117" xfId="0" applyFont="1" applyBorder="1" applyAlignment="1">
      <alignment vertical="center" wrapText="1"/>
    </xf>
    <xf numFmtId="176" fontId="7" fillId="0" borderId="31" xfId="0" applyNumberFormat="1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39" fillId="0" borderId="13" xfId="0" applyFont="1" applyBorder="1" applyAlignment="1">
      <alignment horizontal="center"/>
    </xf>
    <xf numFmtId="187" fontId="7" fillId="0" borderId="49" xfId="0" applyNumberFormat="1" applyFont="1" applyBorder="1" applyAlignment="1">
      <alignment horizontal="center" vertical="center"/>
    </xf>
    <xf numFmtId="187" fontId="7" fillId="28" borderId="21" xfId="0" applyNumberFormat="1" applyFont="1" applyFill="1" applyBorder="1" applyAlignment="1">
      <alignment horizontal="center" vertical="center"/>
    </xf>
    <xf numFmtId="187" fontId="7" fillId="0" borderId="21" xfId="0" applyNumberFormat="1" applyFont="1" applyBorder="1" applyAlignment="1">
      <alignment horizontal="center" vertical="center"/>
    </xf>
    <xf numFmtId="0" fontId="60" fillId="29" borderId="115" xfId="0" applyFont="1" applyFill="1" applyBorder="1" applyAlignment="1">
      <alignment horizontal="left" vertical="top"/>
    </xf>
    <xf numFmtId="0" fontId="61" fillId="0" borderId="113" xfId="0" applyFont="1" applyBorder="1" applyAlignment="1">
      <alignment vertical="center" wrapText="1"/>
    </xf>
    <xf numFmtId="0" fontId="60" fillId="29" borderId="118" xfId="0" applyFont="1" applyFill="1" applyBorder="1" applyAlignment="1">
      <alignment horizontal="left" vertical="top"/>
    </xf>
    <xf numFmtId="0" fontId="60" fillId="29" borderId="119" xfId="0" applyFont="1" applyFill="1" applyBorder="1" applyAlignment="1">
      <alignment horizontal="left" vertical="top"/>
    </xf>
    <xf numFmtId="0" fontId="60" fillId="29" borderId="120" xfId="0" applyFont="1" applyFill="1" applyBorder="1" applyAlignment="1">
      <alignment horizontal="left" vertical="top"/>
    </xf>
    <xf numFmtId="0" fontId="61" fillId="0" borderId="121" xfId="0" applyFont="1" applyBorder="1" applyAlignment="1">
      <alignment vertical="center" wrapText="1"/>
    </xf>
    <xf numFmtId="0" fontId="61" fillId="0" borderId="114" xfId="0" applyFont="1" applyBorder="1" applyAlignment="1">
      <alignment vertical="center" wrapText="1"/>
    </xf>
    <xf numFmtId="0" fontId="60" fillId="29" borderId="120" xfId="0" applyFont="1" applyFill="1" applyBorder="1" applyAlignment="1">
      <alignment vertical="top"/>
    </xf>
    <xf numFmtId="0" fontId="60" fillId="29" borderId="118" xfId="0" applyFont="1" applyFill="1" applyBorder="1" applyAlignment="1">
      <alignment vertical="top"/>
    </xf>
    <xf numFmtId="0" fontId="5" fillId="0" borderId="17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31" fillId="0" borderId="0" xfId="0" applyFont="1" applyAlignment="1">
      <alignment horizontal="left"/>
    </xf>
    <xf numFmtId="0" fontId="4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41" fillId="0" borderId="0" xfId="0" applyFont="1" applyAlignment="1">
      <alignment horizontal="left"/>
    </xf>
    <xf numFmtId="0" fontId="8" fillId="0" borderId="23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80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0" fillId="0" borderId="89" xfId="0" applyBorder="1" applyAlignment="1">
      <alignment horizontal="center"/>
    </xf>
    <xf numFmtId="0" fontId="0" fillId="0" borderId="79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93" xfId="0" applyBorder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81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11" fillId="0" borderId="71" xfId="0" applyFont="1" applyBorder="1" applyAlignment="1">
      <alignment horizontal="center"/>
    </xf>
    <xf numFmtId="0" fontId="11" fillId="0" borderId="47" xfId="0" applyFont="1" applyBorder="1" applyAlignment="1">
      <alignment horizontal="center"/>
    </xf>
    <xf numFmtId="14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8" fillId="0" borderId="26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8" fillId="0" borderId="20" xfId="0" applyNumberFormat="1" applyFont="1" applyBorder="1" applyAlignment="1">
      <alignment horizontal="center"/>
    </xf>
    <xf numFmtId="0" fontId="8" fillId="0" borderId="6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76" fontId="8" fillId="0" borderId="62" xfId="0" applyNumberFormat="1" applyFont="1" applyBorder="1" applyAlignment="1">
      <alignment horizontal="center"/>
    </xf>
    <xf numFmtId="176" fontId="8" fillId="0" borderId="37" xfId="0" applyNumberFormat="1" applyFont="1" applyBorder="1" applyAlignment="1">
      <alignment horizontal="center"/>
    </xf>
    <xf numFmtId="176" fontId="8" fillId="0" borderId="30" xfId="0" applyNumberFormat="1" applyFont="1" applyBorder="1" applyAlignment="1">
      <alignment horizontal="center"/>
    </xf>
    <xf numFmtId="0" fontId="8" fillId="0" borderId="45" xfId="0" applyFont="1" applyBorder="1" applyAlignment="1">
      <alignment horizontal="center" vertical="center"/>
    </xf>
    <xf numFmtId="0" fontId="8" fillId="0" borderId="66" xfId="0" applyFont="1" applyBorder="1" applyAlignment="1">
      <alignment horizontal="center" vertical="center"/>
    </xf>
    <xf numFmtId="0" fontId="8" fillId="0" borderId="67" xfId="0" applyFont="1" applyBorder="1" applyAlignment="1">
      <alignment horizontal="center" vertical="center"/>
    </xf>
    <xf numFmtId="176" fontId="6" fillId="0" borderId="61" xfId="0" applyNumberFormat="1" applyFont="1" applyBorder="1" applyAlignment="1">
      <alignment horizontal="left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176" fontId="8" fillId="0" borderId="52" xfId="0" applyNumberFormat="1" applyFont="1" applyBorder="1" applyAlignment="1">
      <alignment horizontal="center" vertical="center"/>
    </xf>
    <xf numFmtId="176" fontId="8" fillId="0" borderId="64" xfId="0" applyNumberFormat="1" applyFont="1" applyBorder="1" applyAlignment="1">
      <alignment horizontal="center" vertical="center"/>
    </xf>
    <xf numFmtId="176" fontId="8" fillId="0" borderId="65" xfId="0" applyNumberFormat="1" applyFont="1" applyBorder="1" applyAlignment="1">
      <alignment horizontal="center" vertical="center"/>
    </xf>
    <xf numFmtId="176" fontId="7" fillId="0" borderId="22" xfId="0" applyNumberFormat="1" applyFont="1" applyBorder="1" applyAlignment="1">
      <alignment horizontal="center"/>
    </xf>
    <xf numFmtId="176" fontId="7" fillId="0" borderId="23" xfId="0" applyNumberFormat="1" applyFont="1" applyBorder="1" applyAlignment="1">
      <alignment horizontal="center"/>
    </xf>
    <xf numFmtId="176" fontId="8" fillId="0" borderId="40" xfId="0" applyNumberFormat="1" applyFont="1" applyBorder="1" applyAlignment="1">
      <alignment horizontal="center"/>
    </xf>
    <xf numFmtId="2" fontId="44" fillId="21" borderId="22" xfId="27" applyNumberFormat="1" applyFont="1" applyBorder="1" applyAlignment="1">
      <alignment horizontal="center" vertical="center"/>
    </xf>
    <xf numFmtId="2" fontId="8" fillId="26" borderId="23" xfId="0" applyNumberFormat="1" applyFont="1" applyFill="1" applyBorder="1" applyAlignment="1">
      <alignment horizontal="center"/>
    </xf>
    <xf numFmtId="2" fontId="30" fillId="26" borderId="22" xfId="0" applyNumberFormat="1" applyFont="1" applyFill="1" applyBorder="1" applyAlignment="1">
      <alignment horizontal="center" vertical="center"/>
    </xf>
    <xf numFmtId="201" fontId="8" fillId="25" borderId="22" xfId="0" applyNumberFormat="1" applyFont="1" applyFill="1" applyBorder="1" applyAlignment="1">
      <alignment horizontal="center" vertical="center"/>
    </xf>
    <xf numFmtId="2" fontId="8" fillId="26" borderId="22" xfId="0" applyNumberFormat="1" applyFont="1" applyFill="1" applyBorder="1" applyAlignment="1">
      <alignment horizontal="center" vertical="center"/>
    </xf>
    <xf numFmtId="201" fontId="36" fillId="25" borderId="22" xfId="0" applyNumberFormat="1" applyFont="1" applyFill="1" applyBorder="1" applyAlignment="1">
      <alignment horizontal="center" vertical="center"/>
    </xf>
    <xf numFmtId="1" fontId="33" fillId="25" borderId="22" xfId="0" applyNumberFormat="1" applyFont="1" applyFill="1" applyBorder="1" applyAlignment="1">
      <alignment horizontal="center" vertical="center"/>
    </xf>
    <xf numFmtId="2" fontId="37" fillId="0" borderId="39" xfId="0" applyNumberFormat="1" applyFont="1" applyBorder="1" applyAlignment="1">
      <alignment horizontal="center" vertical="center"/>
    </xf>
    <xf numFmtId="0" fontId="5" fillId="0" borderId="69" xfId="0" applyFont="1" applyBorder="1" applyAlignment="1">
      <alignment horizontal="right" vertical="center"/>
    </xf>
    <xf numFmtId="49" fontId="8" fillId="0" borderId="13" xfId="0" applyNumberFormat="1" applyFont="1" applyBorder="1" applyAlignment="1">
      <alignment horizontal="center"/>
    </xf>
    <xf numFmtId="49" fontId="7" fillId="0" borderId="33" xfId="0" applyNumberFormat="1" applyFont="1" applyBorder="1" applyAlignment="1">
      <alignment horizontal="center"/>
    </xf>
    <xf numFmtId="184" fontId="7" fillId="0" borderId="11" xfId="0" applyNumberFormat="1" applyFont="1" applyBorder="1" applyAlignment="1">
      <alignment horizontal="center" vertical="center"/>
    </xf>
    <xf numFmtId="180" fontId="7" fillId="0" borderId="34" xfId="0" applyNumberFormat="1" applyFont="1" applyBorder="1" applyAlignment="1">
      <alignment horizontal="center" vertical="center"/>
    </xf>
    <xf numFmtId="182" fontId="7" fillId="0" borderId="34" xfId="0" applyNumberFormat="1" applyFont="1" applyBorder="1" applyAlignment="1">
      <alignment horizontal="center" vertical="center"/>
    </xf>
    <xf numFmtId="182" fontId="7" fillId="0" borderId="33" xfId="0" applyNumberFormat="1" applyFont="1" applyBorder="1" applyAlignment="1">
      <alignment horizontal="center" vertical="center"/>
    </xf>
    <xf numFmtId="187" fontId="7" fillId="0" borderId="14" xfId="0" applyNumberFormat="1" applyFont="1" applyBorder="1" applyAlignment="1">
      <alignment horizontal="center" vertical="center"/>
    </xf>
    <xf numFmtId="187" fontId="7" fillId="0" borderId="12" xfId="0" applyNumberFormat="1" applyFont="1" applyBorder="1" applyAlignment="1">
      <alignment horizontal="center" vertical="center"/>
    </xf>
    <xf numFmtId="187" fontId="7" fillId="0" borderId="33" xfId="0" applyNumberFormat="1" applyFont="1" applyBorder="1" applyAlignment="1">
      <alignment horizontal="center" vertical="center"/>
    </xf>
    <xf numFmtId="187" fontId="7" fillId="0" borderId="13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86" fontId="7" fillId="0" borderId="12" xfId="33" applyNumberFormat="1" applyFont="1" applyFill="1" applyBorder="1" applyAlignment="1">
      <alignment horizontal="center" vertical="center"/>
    </xf>
    <xf numFmtId="183" fontId="7" fillId="0" borderId="12" xfId="0" applyNumberFormat="1" applyFont="1" applyBorder="1" applyAlignment="1">
      <alignment horizontal="center" vertical="center"/>
    </xf>
    <xf numFmtId="181" fontId="7" fillId="0" borderId="34" xfId="0" applyNumberFormat="1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78" fontId="7" fillId="0" borderId="12" xfId="0" applyNumberFormat="1" applyFont="1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2" fontId="7" fillId="0" borderId="70" xfId="0" applyNumberFormat="1" applyFont="1" applyBorder="1" applyAlignment="1">
      <alignment horizontal="center" vertical="center"/>
    </xf>
    <xf numFmtId="180" fontId="7" fillId="0" borderId="33" xfId="0" applyNumberFormat="1" applyFont="1" applyBorder="1" applyAlignment="1">
      <alignment horizontal="center" vertical="center"/>
    </xf>
    <xf numFmtId="0" fontId="56" fillId="0" borderId="0" xfId="43" applyFont="1" applyAlignment="1">
      <alignment horizontal="center" vertical="center"/>
    </xf>
    <xf numFmtId="0" fontId="56" fillId="0" borderId="0" xfId="43" applyFont="1" applyAlignment="1">
      <alignment vertical="center"/>
    </xf>
    <xf numFmtId="0" fontId="56" fillId="28" borderId="71" xfId="43" applyFont="1" applyFill="1" applyBorder="1" applyAlignment="1">
      <alignment horizontal="center" vertical="center"/>
    </xf>
    <xf numFmtId="0" fontId="56" fillId="28" borderId="47" xfId="43" applyFont="1" applyFill="1" applyBorder="1" applyAlignment="1">
      <alignment horizontal="center" vertical="center"/>
    </xf>
    <xf numFmtId="0" fontId="56" fillId="28" borderId="71" xfId="43" applyFont="1" applyFill="1" applyBorder="1" applyAlignment="1">
      <alignment horizontal="center" vertical="center"/>
    </xf>
    <xf numFmtId="0" fontId="56" fillId="28" borderId="25" xfId="43" applyFont="1" applyFill="1" applyBorder="1" applyAlignment="1">
      <alignment horizontal="center" vertical="center"/>
    </xf>
    <xf numFmtId="0" fontId="56" fillId="28" borderId="25" xfId="43" applyFont="1" applyFill="1" applyBorder="1" applyAlignment="1">
      <alignment horizontal="center" vertical="center"/>
    </xf>
    <xf numFmtId="0" fontId="56" fillId="28" borderId="58" xfId="43" applyFont="1" applyFill="1" applyBorder="1" applyAlignment="1">
      <alignment horizontal="center" vertical="center"/>
    </xf>
    <xf numFmtId="0" fontId="56" fillId="28" borderId="100" xfId="43" applyFont="1" applyFill="1" applyBorder="1" applyAlignment="1">
      <alignment horizontal="center" vertical="center"/>
    </xf>
    <xf numFmtId="0" fontId="56" fillId="28" borderId="88" xfId="43" applyFont="1" applyFill="1" applyBorder="1" applyAlignment="1">
      <alignment horizontal="center" vertical="center"/>
    </xf>
    <xf numFmtId="0" fontId="56" fillId="28" borderId="100" xfId="0" applyFont="1" applyFill="1" applyBorder="1" applyAlignment="1">
      <alignment horizontal="center" vertical="center"/>
    </xf>
    <xf numFmtId="0" fontId="56" fillId="28" borderId="88" xfId="0" applyFont="1" applyFill="1" applyBorder="1" applyAlignment="1">
      <alignment horizontal="center" vertical="center"/>
    </xf>
    <xf numFmtId="0" fontId="58" fillId="28" borderId="61" xfId="43" applyFont="1" applyFill="1" applyBorder="1" applyAlignment="1">
      <alignment horizontal="center" vertical="center"/>
    </xf>
    <xf numFmtId="0" fontId="58" fillId="28" borderId="100" xfId="43" applyFont="1" applyFill="1" applyBorder="1" applyAlignment="1">
      <alignment horizontal="center" vertical="center"/>
    </xf>
    <xf numFmtId="0" fontId="56" fillId="28" borderId="88" xfId="43" applyFont="1" applyFill="1" applyBorder="1" applyAlignment="1">
      <alignment horizontal="center" vertical="center"/>
    </xf>
    <xf numFmtId="0" fontId="56" fillId="28" borderId="63" xfId="43" applyFont="1" applyFill="1" applyBorder="1" applyAlignment="1">
      <alignment horizontal="center" vertical="center"/>
    </xf>
    <xf numFmtId="0" fontId="56" fillId="0" borderId="71" xfId="43" applyFont="1" applyBorder="1" applyAlignment="1">
      <alignment horizontal="center" vertical="center"/>
    </xf>
    <xf numFmtId="0" fontId="56" fillId="0" borderId="47" xfId="43" applyFont="1" applyBorder="1" applyAlignment="1">
      <alignment horizontal="center" vertical="center"/>
    </xf>
    <xf numFmtId="0" fontId="58" fillId="0" borderId="101" xfId="43" applyFont="1" applyBorder="1" applyAlignment="1">
      <alignment horizontal="center" vertical="center"/>
    </xf>
    <xf numFmtId="191" fontId="58" fillId="0" borderId="102" xfId="43" applyNumberFormat="1" applyFont="1" applyBorder="1" applyAlignment="1">
      <alignment horizontal="center" vertical="center"/>
    </xf>
    <xf numFmtId="179" fontId="58" fillId="0" borderId="102" xfId="43" applyNumberFormat="1" applyFont="1" applyBorder="1" applyAlignment="1">
      <alignment horizontal="center" vertical="center"/>
    </xf>
    <xf numFmtId="0" fontId="58" fillId="0" borderId="102" xfId="43" applyFont="1" applyBorder="1" applyAlignment="1">
      <alignment horizontal="center" vertical="center"/>
    </xf>
    <xf numFmtId="0" fontId="58" fillId="0" borderId="50" xfId="43" applyFont="1" applyBorder="1" applyAlignment="1">
      <alignment horizontal="center" vertical="center"/>
    </xf>
    <xf numFmtId="0" fontId="58" fillId="0" borderId="102" xfId="43" applyFont="1" applyBorder="1" applyAlignment="1">
      <alignment horizontal="center" vertical="center" wrapText="1"/>
    </xf>
    <xf numFmtId="197" fontId="58" fillId="0" borderId="102" xfId="43" applyNumberFormat="1" applyFont="1" applyBorder="1" applyAlignment="1">
      <alignment horizontal="center" vertical="center"/>
    </xf>
    <xf numFmtId="1" fontId="58" fillId="0" borderId="102" xfId="43" applyNumberFormat="1" applyFont="1" applyBorder="1" applyAlignment="1">
      <alignment horizontal="center" vertical="center"/>
    </xf>
    <xf numFmtId="0" fontId="58" fillId="0" borderId="102" xfId="43" applyFont="1" applyBorder="1" applyAlignment="1">
      <alignment horizontal="center" vertical="center"/>
    </xf>
    <xf numFmtId="197" fontId="58" fillId="0" borderId="0" xfId="43" applyNumberFormat="1" applyFont="1" applyAlignment="1">
      <alignment horizontal="center" vertical="center"/>
    </xf>
    <xf numFmtId="0" fontId="58" fillId="0" borderId="101" xfId="43" applyFont="1" applyBorder="1" applyAlignment="1">
      <alignment horizontal="center" vertical="center" wrapText="1"/>
    </xf>
    <xf numFmtId="198" fontId="56" fillId="0" borderId="102" xfId="43" applyNumberFormat="1" applyFont="1" applyBorder="1" applyAlignment="1">
      <alignment horizontal="center" vertical="center"/>
    </xf>
    <xf numFmtId="198" fontId="58" fillId="0" borderId="102" xfId="43" applyNumberFormat="1" applyFont="1" applyBorder="1" applyAlignment="1">
      <alignment horizontal="center" vertical="center"/>
    </xf>
    <xf numFmtId="0" fontId="58" fillId="0" borderId="0" xfId="43" applyFont="1" applyAlignment="1">
      <alignment horizontal="center" vertical="center"/>
    </xf>
    <xf numFmtId="198" fontId="58" fillId="0" borderId="0" xfId="43" applyNumberFormat="1" applyFont="1" applyAlignment="1">
      <alignment horizontal="center" vertical="center"/>
    </xf>
    <xf numFmtId="198" fontId="58" fillId="0" borderId="99" xfId="43" applyNumberFormat="1" applyFont="1" applyBorder="1" applyAlignment="1">
      <alignment horizontal="center" vertical="center"/>
    </xf>
    <xf numFmtId="0" fontId="56" fillId="0" borderId="98" xfId="43" applyFont="1" applyBorder="1" applyAlignment="1">
      <alignment horizontal="center" vertical="center"/>
    </xf>
    <xf numFmtId="0" fontId="56" fillId="0" borderId="99" xfId="43" applyFont="1" applyBorder="1" applyAlignment="1">
      <alignment horizontal="center" vertical="center"/>
    </xf>
    <xf numFmtId="0" fontId="58" fillId="0" borderId="51" xfId="43" applyFont="1" applyBorder="1" applyAlignment="1">
      <alignment horizontal="center" vertical="center"/>
    </xf>
    <xf numFmtId="191" fontId="58" fillId="0" borderId="24" xfId="43" applyNumberFormat="1" applyFont="1" applyBorder="1" applyAlignment="1">
      <alignment horizontal="center" vertical="center"/>
    </xf>
    <xf numFmtId="0" fontId="58" fillId="0" borderId="24" xfId="43" applyFont="1" applyBorder="1" applyAlignment="1">
      <alignment horizontal="center" vertical="center"/>
    </xf>
    <xf numFmtId="179" fontId="58" fillId="0" borderId="24" xfId="43" applyNumberFormat="1" applyFont="1" applyBorder="1" applyAlignment="1">
      <alignment horizontal="center" vertical="center"/>
    </xf>
    <xf numFmtId="0" fontId="58" fillId="0" borderId="32" xfId="43" applyFont="1" applyBorder="1" applyAlignment="1">
      <alignment horizontal="center" vertical="center"/>
    </xf>
    <xf numFmtId="0" fontId="58" fillId="0" borderId="24" xfId="43" applyFont="1" applyBorder="1" applyAlignment="1">
      <alignment horizontal="left" vertical="center" indent="1"/>
    </xf>
    <xf numFmtId="199" fontId="58" fillId="0" borderId="24" xfId="43" applyNumberFormat="1" applyFont="1" applyBorder="1" applyAlignment="1">
      <alignment horizontal="center" vertical="center"/>
    </xf>
    <xf numFmtId="1" fontId="58" fillId="0" borderId="24" xfId="43" applyNumberFormat="1" applyFont="1" applyBorder="1" applyAlignment="1">
      <alignment horizontal="center" vertical="center"/>
    </xf>
    <xf numFmtId="0" fontId="58" fillId="0" borderId="24" xfId="43" applyFont="1" applyBorder="1" applyAlignment="1">
      <alignment horizontal="center" vertical="center"/>
    </xf>
    <xf numFmtId="198" fontId="58" fillId="0" borderId="24" xfId="43" applyNumberFormat="1" applyFont="1" applyBorder="1" applyAlignment="1">
      <alignment horizontal="center" vertical="center"/>
    </xf>
    <xf numFmtId="0" fontId="56" fillId="0" borderId="100" xfId="43" applyFont="1" applyBorder="1" applyAlignment="1">
      <alignment horizontal="center" vertical="center"/>
    </xf>
    <xf numFmtId="0" fontId="56" fillId="0" borderId="88" xfId="43" applyFont="1" applyBorder="1" applyAlignment="1">
      <alignment horizontal="center" vertical="center"/>
    </xf>
    <xf numFmtId="0" fontId="58" fillId="0" borderId="103" xfId="43" applyFont="1" applyBorder="1" applyAlignment="1">
      <alignment horizontal="center" vertical="center"/>
    </xf>
    <xf numFmtId="191" fontId="58" fillId="0" borderId="104" xfId="43" applyNumberFormat="1" applyFont="1" applyBorder="1" applyAlignment="1">
      <alignment horizontal="center" vertical="center"/>
    </xf>
    <xf numFmtId="0" fontId="58" fillId="0" borderId="104" xfId="43" applyFont="1" applyBorder="1" applyAlignment="1">
      <alignment horizontal="center" vertical="center"/>
    </xf>
    <xf numFmtId="179" fontId="58" fillId="0" borderId="104" xfId="43" applyNumberFormat="1" applyFont="1" applyBorder="1" applyAlignment="1">
      <alignment horizontal="center" vertical="center"/>
    </xf>
    <xf numFmtId="0" fontId="58" fillId="0" borderId="68" xfId="43" applyFont="1" applyBorder="1" applyAlignment="1">
      <alignment horizontal="center" vertical="center"/>
    </xf>
    <xf numFmtId="0" fontId="58" fillId="0" borderId="14" xfId="43" applyFont="1" applyBorder="1" applyAlignment="1">
      <alignment horizontal="center" vertical="center"/>
    </xf>
    <xf numFmtId="0" fontId="58" fillId="0" borderId="14" xfId="43" applyFont="1" applyBorder="1" applyAlignment="1">
      <alignment horizontal="left" vertical="center"/>
    </xf>
    <xf numFmtId="1" fontId="58" fillId="0" borderId="14" xfId="43" applyNumberFormat="1" applyFont="1" applyBorder="1" applyAlignment="1">
      <alignment horizontal="center" vertical="center"/>
    </xf>
    <xf numFmtId="0" fontId="58" fillId="0" borderId="14" xfId="43" applyFont="1" applyBorder="1" applyAlignment="1">
      <alignment horizontal="center" vertical="center"/>
    </xf>
    <xf numFmtId="197" fontId="58" fillId="0" borderId="61" xfId="43" applyNumberFormat="1" applyFont="1" applyBorder="1" applyAlignment="1">
      <alignment horizontal="center" vertical="center"/>
    </xf>
    <xf numFmtId="0" fontId="58" fillId="0" borderId="104" xfId="43" applyFont="1" applyBorder="1" applyAlignment="1">
      <alignment horizontal="left" vertical="center"/>
    </xf>
    <xf numFmtId="1" fontId="58" fillId="0" borderId="104" xfId="43" applyNumberFormat="1" applyFont="1" applyBorder="1" applyAlignment="1">
      <alignment horizontal="center" vertical="center"/>
    </xf>
    <xf numFmtId="198" fontId="58" fillId="0" borderId="104" xfId="43" applyNumberFormat="1" applyFont="1" applyBorder="1" applyAlignment="1">
      <alignment vertical="center"/>
    </xf>
    <xf numFmtId="0" fontId="58" fillId="0" borderId="62" xfId="43" applyFont="1" applyBorder="1" applyAlignment="1">
      <alignment horizontal="center" vertical="center"/>
    </xf>
    <xf numFmtId="191" fontId="58" fillId="0" borderId="37" xfId="43" applyNumberFormat="1" applyFont="1" applyBorder="1" applyAlignment="1">
      <alignment horizontal="center" vertical="center"/>
    </xf>
    <xf numFmtId="179" fontId="58" fillId="0" borderId="37" xfId="43" applyNumberFormat="1" applyFont="1" applyBorder="1" applyAlignment="1">
      <alignment horizontal="center" vertical="center"/>
    </xf>
    <xf numFmtId="0" fontId="58" fillId="0" borderId="37" xfId="43" applyFont="1" applyBorder="1" applyAlignment="1">
      <alignment horizontal="center" vertical="center"/>
    </xf>
    <xf numFmtId="0" fontId="58" fillId="0" borderId="30" xfId="43" applyFont="1" applyBorder="1" applyAlignment="1">
      <alignment horizontal="center" vertical="center"/>
    </xf>
    <xf numFmtId="0" fontId="58" fillId="0" borderId="37" xfId="43" applyFont="1" applyBorder="1" applyAlignment="1">
      <alignment horizontal="center" vertical="center" wrapText="1"/>
    </xf>
    <xf numFmtId="197" fontId="58" fillId="0" borderId="37" xfId="43" applyNumberFormat="1" applyFont="1" applyBorder="1" applyAlignment="1">
      <alignment horizontal="center" vertical="center"/>
    </xf>
    <xf numFmtId="1" fontId="58" fillId="0" borderId="37" xfId="43" applyNumberFormat="1" applyFont="1" applyBorder="1" applyAlignment="1">
      <alignment horizontal="center" vertical="center"/>
    </xf>
    <xf numFmtId="0" fontId="58" fillId="0" borderId="37" xfId="43" applyFont="1" applyBorder="1" applyAlignment="1">
      <alignment horizontal="center" vertical="center"/>
    </xf>
    <xf numFmtId="197" fontId="58" fillId="0" borderId="25" xfId="43" applyNumberFormat="1" applyFont="1" applyBorder="1" applyAlignment="1">
      <alignment horizontal="center" vertical="center"/>
    </xf>
    <xf numFmtId="0" fontId="58" fillId="0" borderId="71" xfId="43" applyFont="1" applyBorder="1" applyAlignment="1">
      <alignment horizontal="center" vertical="center" wrapText="1"/>
    </xf>
    <xf numFmtId="198" fontId="56" fillId="0" borderId="37" xfId="43" applyNumberFormat="1" applyFont="1" applyBorder="1" applyAlignment="1">
      <alignment horizontal="center" vertical="center"/>
    </xf>
    <xf numFmtId="198" fontId="58" fillId="0" borderId="37" xfId="43" applyNumberFormat="1" applyFont="1" applyBorder="1" applyAlignment="1">
      <alignment horizontal="center" vertical="center"/>
    </xf>
    <xf numFmtId="0" fontId="58" fillId="0" borderId="25" xfId="43" applyFont="1" applyBorder="1" applyAlignment="1">
      <alignment horizontal="center" vertical="center"/>
    </xf>
    <xf numFmtId="198" fontId="58" fillId="0" borderId="25" xfId="43" applyNumberFormat="1" applyFont="1" applyBorder="1" applyAlignment="1">
      <alignment horizontal="center" vertical="center"/>
    </xf>
    <xf numFmtId="198" fontId="58" fillId="0" borderId="47" xfId="43" applyNumberFormat="1" applyFont="1" applyBorder="1" applyAlignment="1">
      <alignment horizontal="center" vertical="center"/>
    </xf>
    <xf numFmtId="0" fontId="58" fillId="0" borderId="24" xfId="43" applyFont="1" applyBorder="1" applyAlignment="1">
      <alignment horizontal="center" vertical="center" wrapText="1"/>
    </xf>
    <xf numFmtId="0" fontId="58" fillId="0" borderId="98" xfId="43" applyFont="1" applyBorder="1" applyAlignment="1">
      <alignment horizontal="center" vertical="center" wrapText="1"/>
    </xf>
    <xf numFmtId="0" fontId="58" fillId="0" borderId="104" xfId="43" applyFont="1" applyBorder="1" applyAlignment="1">
      <alignment horizontal="center" vertical="center" wrapText="1"/>
    </xf>
    <xf numFmtId="0" fontId="58" fillId="0" borderId="104" xfId="43" applyFont="1" applyBorder="1" applyAlignment="1">
      <alignment horizontal="left" vertical="center" indent="1"/>
    </xf>
    <xf numFmtId="199" fontId="58" fillId="0" borderId="104" xfId="43" applyNumberFormat="1" applyFont="1" applyBorder="1" applyAlignment="1">
      <alignment horizontal="center" vertical="center"/>
    </xf>
    <xf numFmtId="0" fontId="58" fillId="0" borderId="104" xfId="43" applyFont="1" applyBorder="1" applyAlignment="1">
      <alignment horizontal="center" vertical="center"/>
    </xf>
    <xf numFmtId="0" fontId="58" fillId="0" borderId="104" xfId="43" applyFont="1" applyBorder="1" applyAlignment="1">
      <alignment vertical="center"/>
    </xf>
    <xf numFmtId="197" fontId="58" fillId="0" borderId="24" xfId="43" applyNumberFormat="1" applyFont="1" applyBorder="1" applyAlignment="1">
      <alignment horizontal="center" vertical="center"/>
    </xf>
    <xf numFmtId="198" fontId="58" fillId="0" borderId="104" xfId="43" applyNumberFormat="1" applyFont="1" applyBorder="1" applyAlignment="1">
      <alignment horizontal="center" vertical="center"/>
    </xf>
    <xf numFmtId="0" fontId="58" fillId="0" borderId="70" xfId="43" applyFont="1" applyBorder="1" applyAlignment="1">
      <alignment horizontal="center" vertical="center"/>
    </xf>
    <xf numFmtId="191" fontId="58" fillId="0" borderId="14" xfId="43" applyNumberFormat="1" applyFont="1" applyBorder="1" applyAlignment="1">
      <alignment horizontal="center" vertical="center"/>
    </xf>
    <xf numFmtId="179" fontId="58" fillId="0" borderId="14" xfId="43" applyNumberFormat="1" applyFont="1" applyBorder="1" applyAlignment="1">
      <alignment horizontal="center" vertical="center"/>
    </xf>
    <xf numFmtId="0" fontId="58" fillId="0" borderId="35" xfId="43" applyFont="1" applyBorder="1" applyAlignment="1">
      <alignment horizontal="center" vertical="center"/>
    </xf>
    <xf numFmtId="0" fontId="58" fillId="0" borderId="14" xfId="43" applyFont="1" applyBorder="1" applyAlignment="1">
      <alignment horizontal="center" vertical="center" wrapText="1"/>
    </xf>
    <xf numFmtId="0" fontId="58" fillId="0" borderId="100" xfId="43" applyFont="1" applyBorder="1" applyAlignment="1">
      <alignment horizontal="center" vertical="center" wrapText="1"/>
    </xf>
    <xf numFmtId="0" fontId="58" fillId="0" borderId="14" xfId="43" applyFont="1" applyBorder="1" applyAlignment="1">
      <alignment horizontal="left" vertical="center" indent="1"/>
    </xf>
    <xf numFmtId="198" fontId="58" fillId="0" borderId="14" xfId="43" applyNumberFormat="1" applyFont="1" applyBorder="1" applyAlignment="1">
      <alignment vertical="center"/>
    </xf>
    <xf numFmtId="0" fontId="58" fillId="0" borderId="61" xfId="43" applyFont="1" applyBorder="1" applyAlignment="1">
      <alignment horizontal="center" vertical="center"/>
    </xf>
    <xf numFmtId="198" fontId="58" fillId="0" borderId="61" xfId="43" applyNumberFormat="1" applyFont="1" applyBorder="1" applyAlignment="1">
      <alignment horizontal="center" vertical="center"/>
    </xf>
    <xf numFmtId="198" fontId="58" fillId="0" borderId="88" xfId="43" applyNumberFormat="1" applyFont="1" applyBorder="1" applyAlignment="1">
      <alignment horizontal="center" vertical="center"/>
    </xf>
    <xf numFmtId="0" fontId="62" fillId="0" borderId="51" xfId="43" applyFont="1" applyBorder="1" applyAlignment="1">
      <alignment horizontal="center" vertical="center"/>
    </xf>
    <xf numFmtId="191" fontId="62" fillId="0" borderId="24" xfId="43" applyNumberFormat="1" applyFont="1" applyBorder="1" applyAlignment="1">
      <alignment horizontal="center" vertical="center"/>
    </xf>
    <xf numFmtId="179" fontId="62" fillId="0" borderId="102" xfId="43" applyNumberFormat="1" applyFont="1" applyBorder="1" applyAlignment="1">
      <alignment horizontal="center" vertical="center"/>
    </xf>
    <xf numFmtId="0" fontId="62" fillId="0" borderId="24" xfId="43" applyFont="1" applyBorder="1" applyAlignment="1">
      <alignment horizontal="center" vertical="center"/>
    </xf>
    <xf numFmtId="0" fontId="62" fillId="0" borderId="32" xfId="43" applyFont="1" applyBorder="1" applyAlignment="1">
      <alignment horizontal="center" vertical="center"/>
    </xf>
    <xf numFmtId="179" fontId="58" fillId="0" borderId="0" xfId="43" applyNumberFormat="1" applyFont="1" applyAlignment="1">
      <alignment horizontal="center" vertical="center"/>
    </xf>
    <xf numFmtId="0" fontId="58" fillId="0" borderId="0" xfId="43" applyFont="1" applyAlignment="1">
      <alignment horizontal="center" vertical="center" wrapText="1"/>
    </xf>
    <xf numFmtId="0" fontId="56" fillId="0" borderId="107" xfId="43" applyFont="1" applyBorder="1" applyAlignment="1">
      <alignment horizontal="center" vertical="center"/>
    </xf>
    <xf numFmtId="0" fontId="56" fillId="0" borderId="108" xfId="43" applyFont="1" applyBorder="1" applyAlignment="1">
      <alignment horizontal="center" vertical="center"/>
    </xf>
    <xf numFmtId="0" fontId="58" fillId="0" borderId="109" xfId="43" applyFont="1" applyBorder="1" applyAlignment="1">
      <alignment horizontal="center" vertical="center"/>
    </xf>
    <xf numFmtId="191" fontId="58" fillId="0" borderId="110" xfId="43" applyNumberFormat="1" applyFont="1" applyBorder="1" applyAlignment="1">
      <alignment horizontal="center" vertical="center"/>
    </xf>
    <xf numFmtId="0" fontId="58" fillId="0" borderId="110" xfId="43" applyFont="1" applyBorder="1" applyAlignment="1">
      <alignment horizontal="center" vertical="center"/>
    </xf>
    <xf numFmtId="179" fontId="58" fillId="0" borderId="110" xfId="43" applyNumberFormat="1" applyFont="1" applyBorder="1" applyAlignment="1">
      <alignment horizontal="center" vertical="center"/>
    </xf>
    <xf numFmtId="0" fontId="58" fillId="0" borderId="111" xfId="43" applyFont="1" applyBorder="1" applyAlignment="1">
      <alignment horizontal="center" vertical="center"/>
    </xf>
    <xf numFmtId="0" fontId="58" fillId="0" borderId="89" xfId="43" applyFont="1" applyBorder="1" applyAlignment="1">
      <alignment horizontal="center" vertical="center" wrapText="1"/>
    </xf>
    <xf numFmtId="0" fontId="58" fillId="0" borderId="110" xfId="43" applyFont="1" applyBorder="1" applyAlignment="1">
      <alignment horizontal="left" vertical="center"/>
    </xf>
    <xf numFmtId="1" fontId="58" fillId="0" borderId="110" xfId="43" applyNumberFormat="1" applyFont="1" applyBorder="1" applyAlignment="1">
      <alignment horizontal="center" vertical="center"/>
    </xf>
    <xf numFmtId="0" fontId="58" fillId="0" borderId="89" xfId="43" applyFont="1" applyBorder="1" applyAlignment="1">
      <alignment horizontal="center" vertical="center"/>
    </xf>
    <xf numFmtId="197" fontId="58" fillId="0" borderId="89" xfId="43" applyNumberFormat="1" applyFont="1" applyBorder="1" applyAlignment="1">
      <alignment horizontal="center" vertical="center"/>
    </xf>
    <xf numFmtId="0" fontId="58" fillId="0" borderId="107" xfId="43" applyFont="1" applyBorder="1" applyAlignment="1">
      <alignment horizontal="center" vertical="center" wrapText="1"/>
    </xf>
    <xf numFmtId="0" fontId="58" fillId="0" borderId="110" xfId="43" applyFont="1" applyBorder="1" applyAlignment="1">
      <alignment horizontal="left" vertical="center" indent="1"/>
    </xf>
    <xf numFmtId="198" fontId="58" fillId="0" borderId="110" xfId="43" applyNumberFormat="1" applyFont="1" applyBorder="1" applyAlignment="1">
      <alignment vertical="center"/>
    </xf>
    <xf numFmtId="198" fontId="58" fillId="0" borderId="89" xfId="43" applyNumberFormat="1" applyFont="1" applyBorder="1" applyAlignment="1">
      <alignment horizontal="center" vertical="center"/>
    </xf>
    <xf numFmtId="198" fontId="58" fillId="0" borderId="108" xfId="43" applyNumberFormat="1" applyFont="1" applyBorder="1" applyAlignment="1">
      <alignment horizontal="center" vertical="center"/>
    </xf>
    <xf numFmtId="0" fontId="63" fillId="0" borderId="0" xfId="47">
      <alignment vertical="center"/>
    </xf>
    <xf numFmtId="0" fontId="63" fillId="0" borderId="0" xfId="47" applyAlignment="1">
      <alignment vertical="center" shrinkToFit="1"/>
    </xf>
    <xf numFmtId="49" fontId="64" fillId="0" borderId="122" xfId="47" applyNumberFormat="1" applyFont="1" applyBorder="1">
      <alignment vertical="center"/>
    </xf>
    <xf numFmtId="0" fontId="64" fillId="0" borderId="76" xfId="47" applyFont="1" applyBorder="1">
      <alignment vertical="center"/>
    </xf>
    <xf numFmtId="49" fontId="64" fillId="0" borderId="76" xfId="47" applyNumberFormat="1" applyFont="1" applyBorder="1">
      <alignment vertical="center"/>
    </xf>
    <xf numFmtId="0" fontId="64" fillId="0" borderId="76" xfId="47" applyFont="1" applyBorder="1" applyAlignment="1">
      <alignment horizontal="center" vertical="center"/>
    </xf>
    <xf numFmtId="0" fontId="64" fillId="0" borderId="75" xfId="47" applyFont="1" applyBorder="1">
      <alignment vertical="center"/>
    </xf>
    <xf numFmtId="0" fontId="65" fillId="0" borderId="86" xfId="47" applyFont="1" applyBorder="1">
      <alignment vertical="center"/>
    </xf>
    <xf numFmtId="49" fontId="64" fillId="0" borderId="86" xfId="47" applyNumberFormat="1" applyFont="1" applyBorder="1">
      <alignment vertical="center"/>
    </xf>
    <xf numFmtId="0" fontId="66" fillId="0" borderId="60" xfId="47" applyFont="1" applyBorder="1" applyAlignment="1">
      <alignment horizontal="center" vertical="center"/>
    </xf>
    <xf numFmtId="0" fontId="68" fillId="0" borderId="15" xfId="47" applyFont="1" applyBorder="1" applyAlignment="1">
      <alignment horizontal="center" vertical="center"/>
    </xf>
    <xf numFmtId="0" fontId="68" fillId="0" borderId="56" xfId="47" applyFont="1" applyBorder="1" applyAlignment="1">
      <alignment horizontal="center" vertical="center"/>
    </xf>
    <xf numFmtId="0" fontId="69" fillId="0" borderId="0" xfId="47" applyFont="1">
      <alignment vertical="center"/>
    </xf>
    <xf numFmtId="49" fontId="69" fillId="0" borderId="0" xfId="47" applyNumberFormat="1" applyFont="1">
      <alignment vertical="center"/>
    </xf>
    <xf numFmtId="0" fontId="69" fillId="0" borderId="0" xfId="47" applyFont="1" applyAlignment="1">
      <alignment horizontal="center" vertical="center"/>
    </xf>
    <xf numFmtId="0" fontId="69" fillId="0" borderId="87" xfId="47" applyFont="1" applyBorder="1">
      <alignment vertical="center"/>
    </xf>
    <xf numFmtId="0" fontId="70" fillId="0" borderId="86" xfId="47" applyFont="1" applyBorder="1">
      <alignment vertical="center"/>
    </xf>
    <xf numFmtId="0" fontId="69" fillId="0" borderId="86" xfId="47" applyFont="1" applyBorder="1">
      <alignment vertical="center"/>
    </xf>
    <xf numFmtId="0" fontId="68" fillId="0" borderId="62" xfId="47" applyFont="1" applyBorder="1" applyAlignment="1">
      <alignment horizontal="center" vertical="center"/>
    </xf>
    <xf numFmtId="0" fontId="68" fillId="0" borderId="37" xfId="47" applyFont="1" applyBorder="1" applyAlignment="1">
      <alignment horizontal="center" vertical="center"/>
    </xf>
    <xf numFmtId="0" fontId="68" fillId="0" borderId="71" xfId="47" applyFont="1" applyBorder="1" applyAlignment="1">
      <alignment horizontal="center" vertical="center"/>
    </xf>
    <xf numFmtId="0" fontId="68" fillId="0" borderId="25" xfId="47" applyFont="1" applyBorder="1" applyAlignment="1">
      <alignment horizontal="center" vertical="center"/>
    </xf>
    <xf numFmtId="0" fontId="68" fillId="0" borderId="47" xfId="47" applyFont="1" applyBorder="1" applyAlignment="1">
      <alignment horizontal="center" vertical="center"/>
    </xf>
    <xf numFmtId="0" fontId="68" fillId="0" borderId="30" xfId="47" applyFont="1" applyBorder="1" applyAlignment="1">
      <alignment horizontal="center" vertical="center"/>
    </xf>
    <xf numFmtId="0" fontId="68" fillId="0" borderId="70" xfId="47" applyFont="1" applyBorder="1" applyAlignment="1">
      <alignment horizontal="center" vertical="center"/>
    </xf>
    <xf numFmtId="0" fontId="68" fillId="0" borderId="14" xfId="47" applyFont="1" applyBorder="1" applyAlignment="1">
      <alignment horizontal="center" vertical="center"/>
    </xf>
    <xf numFmtId="0" fontId="68" fillId="0" borderId="100" xfId="47" applyFont="1" applyBorder="1" applyAlignment="1">
      <alignment horizontal="center" vertical="center"/>
    </xf>
    <xf numFmtId="0" fontId="68" fillId="0" borderId="61" xfId="47" applyFont="1" applyBorder="1" applyAlignment="1">
      <alignment horizontal="center" vertical="center"/>
    </xf>
    <xf numFmtId="0" fontId="68" fillId="0" borderId="88" xfId="47" applyFont="1" applyBorder="1" applyAlignment="1">
      <alignment horizontal="center" vertical="center"/>
    </xf>
    <xf numFmtId="0" fontId="68" fillId="0" borderId="35" xfId="47" applyFont="1" applyBorder="1" applyAlignment="1">
      <alignment horizontal="center" vertical="center"/>
    </xf>
    <xf numFmtId="0" fontId="70" fillId="0" borderId="14" xfId="47" applyFont="1" applyBorder="1" applyAlignment="1">
      <alignment horizontal="center" vertical="center"/>
    </xf>
    <xf numFmtId="0" fontId="70" fillId="0" borderId="34" xfId="47" applyFont="1" applyBorder="1" applyAlignment="1">
      <alignment horizontal="center" vertical="center"/>
    </xf>
    <xf numFmtId="0" fontId="70" fillId="0" borderId="11" xfId="47" applyFont="1" applyBorder="1" applyAlignment="1">
      <alignment horizontal="center" vertical="center"/>
    </xf>
    <xf numFmtId="0" fontId="70" fillId="0" borderId="14" xfId="47" applyFont="1" applyBorder="1" applyAlignment="1">
      <alignment horizontal="center" vertical="center"/>
    </xf>
    <xf numFmtId="0" fontId="71" fillId="0" borderId="0" xfId="47" applyFont="1">
      <alignment vertical="center"/>
    </xf>
    <xf numFmtId="0" fontId="70" fillId="0" borderId="51" xfId="47" applyFont="1" applyBorder="1" applyAlignment="1">
      <alignment horizontal="center" vertical="center"/>
    </xf>
    <xf numFmtId="0" fontId="70" fillId="0" borderId="24" xfId="47" applyFont="1" applyBorder="1" applyAlignment="1">
      <alignment horizontal="center" vertical="center"/>
    </xf>
    <xf numFmtId="0" fontId="69" fillId="0" borderId="51" xfId="47" applyFont="1" applyBorder="1">
      <alignment vertical="center"/>
    </xf>
    <xf numFmtId="0" fontId="69" fillId="0" borderId="24" xfId="47" applyFont="1" applyBorder="1">
      <alignment vertical="center"/>
    </xf>
    <xf numFmtId="0" fontId="69" fillId="0" borderId="32" xfId="47" applyFont="1" applyBorder="1">
      <alignment vertical="center"/>
    </xf>
    <xf numFmtId="205" fontId="69" fillId="0" borderId="51" xfId="47" applyNumberFormat="1" applyFont="1" applyBorder="1" applyAlignment="1">
      <alignment horizontal="center" vertical="center"/>
    </xf>
    <xf numFmtId="205" fontId="69" fillId="0" borderId="31" xfId="47" applyNumberFormat="1" applyFont="1" applyBorder="1" applyAlignment="1">
      <alignment horizontal="center" vertical="center"/>
    </xf>
    <xf numFmtId="0" fontId="69" fillId="0" borderId="24" xfId="47" applyFont="1" applyBorder="1" applyAlignment="1">
      <alignment horizontal="left" vertical="center"/>
    </xf>
    <xf numFmtId="0" fontId="69" fillId="0" borderId="24" xfId="47" applyFont="1" applyBorder="1" applyAlignment="1">
      <alignment horizontal="centerContinuous" vertical="center"/>
    </xf>
    <xf numFmtId="0" fontId="69" fillId="0" borderId="32" xfId="47" applyFont="1" applyBorder="1" applyAlignment="1">
      <alignment horizontal="centerContinuous" vertical="center"/>
    </xf>
    <xf numFmtId="0" fontId="69" fillId="0" borderId="24" xfId="47" applyFont="1" applyBorder="1" applyAlignment="1">
      <alignment horizontal="right" vertical="center"/>
    </xf>
    <xf numFmtId="0" fontId="70" fillId="0" borderId="16" xfId="47" applyFont="1" applyBorder="1" applyAlignment="1">
      <alignment horizontal="center" vertical="center"/>
    </xf>
    <xf numFmtId="0" fontId="70" fillId="0" borderId="23" xfId="47" applyFont="1" applyBorder="1" applyAlignment="1">
      <alignment horizontal="center" vertical="center"/>
    </xf>
    <xf numFmtId="0" fontId="70" fillId="0" borderId="31" xfId="47" applyFont="1" applyBorder="1" applyAlignment="1">
      <alignment horizontal="center" vertical="center"/>
    </xf>
    <xf numFmtId="2" fontId="70" fillId="0" borderId="24" xfId="47" applyNumberFormat="1" applyFont="1" applyBorder="1" applyAlignment="1">
      <alignment horizontal="center" vertical="center"/>
    </xf>
    <xf numFmtId="0" fontId="70" fillId="0" borderId="32" xfId="47" applyFont="1" applyBorder="1" applyAlignment="1">
      <alignment horizontal="center" vertical="center"/>
    </xf>
    <xf numFmtId="0" fontId="70" fillId="0" borderId="21" xfId="47" applyFont="1" applyBorder="1" applyAlignment="1">
      <alignment horizontal="center" vertical="center"/>
    </xf>
    <xf numFmtId="179" fontId="70" fillId="0" borderId="24" xfId="47" applyNumberFormat="1" applyFont="1" applyBorder="1" applyAlignment="1">
      <alignment horizontal="center" vertical="center"/>
    </xf>
    <xf numFmtId="0" fontId="70" fillId="0" borderId="24" xfId="47" applyFont="1" applyBorder="1">
      <alignment vertical="center"/>
    </xf>
    <xf numFmtId="0" fontId="69" fillId="0" borderId="24" xfId="47" quotePrefix="1" applyFont="1" applyBorder="1">
      <alignment vertical="center"/>
    </xf>
    <xf numFmtId="0" fontId="71" fillId="0" borderId="24" xfId="47" applyFont="1" applyBorder="1">
      <alignment vertical="center"/>
    </xf>
    <xf numFmtId="179" fontId="70" fillId="0" borderId="24" xfId="47" applyNumberFormat="1" applyFont="1" applyBorder="1">
      <alignment vertical="center"/>
    </xf>
    <xf numFmtId="206" fontId="70" fillId="0" borderId="24" xfId="47" applyNumberFormat="1" applyFont="1" applyBorder="1" applyAlignment="1">
      <alignment horizontal="center" vertical="center"/>
    </xf>
    <xf numFmtId="0" fontId="72" fillId="0" borderId="51" xfId="47" applyFont="1" applyBorder="1">
      <alignment vertical="center"/>
    </xf>
    <xf numFmtId="206" fontId="70" fillId="0" borderId="24" xfId="47" applyNumberFormat="1" applyFont="1" applyBorder="1">
      <alignment vertical="center"/>
    </xf>
    <xf numFmtId="206" fontId="70" fillId="0" borderId="24" xfId="47" applyNumberFormat="1" applyFont="1" applyBorder="1" applyAlignment="1">
      <alignment horizontal="center" vertical="center"/>
    </xf>
    <xf numFmtId="0" fontId="69" fillId="0" borderId="24" xfId="47" applyFont="1" applyBorder="1" applyAlignment="1">
      <alignment horizontal="center" vertical="center"/>
    </xf>
    <xf numFmtId="49" fontId="69" fillId="0" borderId="24" xfId="47" applyNumberFormat="1" applyFont="1" applyBorder="1">
      <alignment vertical="center"/>
    </xf>
    <xf numFmtId="178" fontId="70" fillId="0" borderId="24" xfId="47" applyNumberFormat="1" applyFont="1" applyBorder="1" applyAlignment="1">
      <alignment horizontal="center" vertical="center"/>
    </xf>
    <xf numFmtId="205" fontId="69" fillId="0" borderId="51" xfId="47" applyNumberFormat="1" applyFont="1" applyBorder="1" applyAlignment="1">
      <alignment horizontal="left" vertical="center"/>
    </xf>
    <xf numFmtId="205" fontId="69" fillId="0" borderId="31" xfId="47" applyNumberFormat="1" applyFont="1" applyBorder="1" applyAlignment="1">
      <alignment horizontal="centerContinuous" vertical="center"/>
    </xf>
    <xf numFmtId="0" fontId="72" fillId="0" borderId="24" xfId="47" applyFont="1" applyBorder="1">
      <alignment vertical="center"/>
    </xf>
    <xf numFmtId="2" fontId="70" fillId="0" borderId="23" xfId="47" applyNumberFormat="1" applyFont="1" applyBorder="1" applyAlignment="1">
      <alignment horizontal="center" vertical="center"/>
    </xf>
    <xf numFmtId="2" fontId="70" fillId="0" borderId="32" xfId="47" applyNumberFormat="1" applyFont="1" applyBorder="1" applyAlignment="1">
      <alignment horizontal="center" vertical="center"/>
    </xf>
    <xf numFmtId="0" fontId="69" fillId="30" borderId="24" xfId="47" applyFont="1" applyFill="1" applyBorder="1">
      <alignment vertical="center"/>
    </xf>
    <xf numFmtId="38" fontId="70" fillId="0" borderId="24" xfId="48" applyFont="1" applyFill="1" applyBorder="1" applyAlignment="1">
      <alignment horizontal="center" vertical="center"/>
    </xf>
    <xf numFmtId="0" fontId="70" fillId="0" borderId="24" xfId="47" applyFont="1" applyBorder="1" applyAlignment="1">
      <alignment horizontal="center" vertical="center"/>
    </xf>
    <xf numFmtId="0" fontId="69" fillId="30" borderId="24" xfId="47" applyFont="1" applyFill="1" applyBorder="1" applyAlignment="1">
      <alignment horizontal="left" vertical="center"/>
    </xf>
    <xf numFmtId="178" fontId="73" fillId="0" borderId="24" xfId="47" applyNumberFormat="1" applyFont="1" applyBorder="1" applyAlignment="1">
      <alignment horizontal="center" vertical="center"/>
    </xf>
    <xf numFmtId="0" fontId="70" fillId="0" borderId="51" xfId="47" applyFont="1" applyBorder="1">
      <alignment vertical="center"/>
    </xf>
    <xf numFmtId="0" fontId="71" fillId="0" borderId="24" xfId="47" applyFont="1" applyBorder="1" applyAlignment="1">
      <alignment horizontal="centerContinuous" vertical="center" shrinkToFit="1"/>
    </xf>
    <xf numFmtId="0" fontId="71" fillId="0" borderId="24" xfId="47" applyFont="1" applyBorder="1" applyAlignment="1">
      <alignment vertical="center" shrinkToFit="1"/>
    </xf>
    <xf numFmtId="0" fontId="70" fillId="0" borderId="41" xfId="47" applyFont="1" applyBorder="1" applyAlignment="1">
      <alignment horizontal="center" vertical="center"/>
    </xf>
    <xf numFmtId="2" fontId="70" fillId="0" borderId="24" xfId="47" applyNumberFormat="1" applyFont="1" applyBorder="1">
      <alignment vertical="center"/>
    </xf>
    <xf numFmtId="0" fontId="69" fillId="0" borderId="32" xfId="47" applyFont="1" applyBorder="1" applyAlignment="1">
      <alignment horizontal="center" vertical="center"/>
    </xf>
    <xf numFmtId="0" fontId="70" fillId="0" borderId="70" xfId="47" applyFont="1" applyBorder="1" applyAlignment="1">
      <alignment horizontal="center" vertical="center"/>
    </xf>
    <xf numFmtId="0" fontId="69" fillId="0" borderId="70" xfId="47" applyFont="1" applyBorder="1">
      <alignment vertical="center"/>
    </xf>
    <xf numFmtId="0" fontId="69" fillId="0" borderId="14" xfId="47" applyFont="1" applyBorder="1">
      <alignment vertical="center"/>
    </xf>
    <xf numFmtId="0" fontId="69" fillId="0" borderId="35" xfId="47" applyFont="1" applyBorder="1">
      <alignment vertical="center"/>
    </xf>
    <xf numFmtId="205" fontId="69" fillId="0" borderId="70" xfId="47" applyNumberFormat="1" applyFont="1" applyBorder="1" applyAlignment="1">
      <alignment horizontal="center" vertical="center"/>
    </xf>
    <xf numFmtId="205" fontId="69" fillId="0" borderId="11" xfId="47" applyNumberFormat="1" applyFont="1" applyBorder="1" applyAlignment="1">
      <alignment horizontal="center" vertical="center"/>
    </xf>
    <xf numFmtId="49" fontId="69" fillId="0" borderId="14" xfId="47" applyNumberFormat="1" applyFont="1" applyBorder="1">
      <alignment vertical="center"/>
    </xf>
    <xf numFmtId="0" fontId="70" fillId="0" borderId="13" xfId="47" applyFont="1" applyBorder="1" applyAlignment="1">
      <alignment horizontal="center" vertical="center"/>
    </xf>
    <xf numFmtId="2" fontId="70" fillId="0" borderId="14" xfId="47" applyNumberFormat="1" applyFont="1" applyBorder="1" applyAlignment="1">
      <alignment horizontal="center" vertical="center"/>
    </xf>
    <xf numFmtId="0" fontId="70" fillId="0" borderId="35" xfId="47" applyFont="1" applyBorder="1" applyAlignment="1">
      <alignment horizontal="center" vertical="center"/>
    </xf>
    <xf numFmtId="0" fontId="70" fillId="0" borderId="15" xfId="47" applyFont="1" applyBorder="1" applyAlignment="1">
      <alignment horizontal="center" vertical="center"/>
    </xf>
    <xf numFmtId="0" fontId="70" fillId="0" borderId="0" xfId="47" applyFont="1" applyAlignment="1">
      <alignment horizontal="center" vertical="center"/>
    </xf>
    <xf numFmtId="205" fontId="69" fillId="0" borderId="0" xfId="47" applyNumberFormat="1" applyFont="1" applyAlignment="1">
      <alignment horizontal="center" vertical="center"/>
    </xf>
    <xf numFmtId="2" fontId="70" fillId="0" borderId="0" xfId="47" applyNumberFormat="1" applyFont="1" applyAlignment="1">
      <alignment horizontal="center" vertical="center"/>
    </xf>
    <xf numFmtId="0" fontId="69" fillId="0" borderId="15" xfId="47" applyFont="1" applyBorder="1">
      <alignment vertical="center"/>
    </xf>
    <xf numFmtId="0" fontId="69" fillId="0" borderId="71" xfId="47" applyFont="1" applyBorder="1">
      <alignment vertical="center"/>
    </xf>
    <xf numFmtId="0" fontId="69" fillId="0" borderId="25" xfId="47" applyFont="1" applyBorder="1">
      <alignment vertical="center"/>
    </xf>
    <xf numFmtId="0" fontId="69" fillId="0" borderId="25" xfId="47" applyFont="1" applyBorder="1" applyAlignment="1">
      <alignment horizontal="center" vertical="center"/>
    </xf>
    <xf numFmtId="49" fontId="69" fillId="0" borderId="25" xfId="47" applyNumberFormat="1" applyFont="1" applyBorder="1">
      <alignment vertical="center"/>
    </xf>
    <xf numFmtId="0" fontId="70" fillId="0" borderId="25" xfId="47" applyFont="1" applyBorder="1">
      <alignment vertical="center"/>
    </xf>
    <xf numFmtId="0" fontId="70" fillId="0" borderId="25" xfId="47" applyFont="1" applyBorder="1" applyAlignment="1">
      <alignment horizontal="center" vertical="center"/>
    </xf>
    <xf numFmtId="2" fontId="70" fillId="0" borderId="25" xfId="47" applyNumberFormat="1" applyFont="1" applyBorder="1">
      <alignment vertical="center"/>
    </xf>
    <xf numFmtId="0" fontId="69" fillId="0" borderId="47" xfId="47" applyFont="1" applyBorder="1">
      <alignment vertical="center"/>
    </xf>
    <xf numFmtId="0" fontId="69" fillId="0" borderId="98" xfId="47" applyFont="1" applyBorder="1">
      <alignment vertical="center"/>
    </xf>
    <xf numFmtId="0" fontId="69" fillId="0" borderId="0" xfId="47" quotePrefix="1" applyFont="1" applyAlignment="1">
      <alignment horizontal="right" vertical="center"/>
    </xf>
    <xf numFmtId="0" fontId="70" fillId="0" borderId="0" xfId="47" applyFont="1">
      <alignment vertical="center"/>
    </xf>
    <xf numFmtId="2" fontId="70" fillId="0" borderId="0" xfId="47" applyNumberFormat="1" applyFont="1">
      <alignment vertical="center"/>
    </xf>
    <xf numFmtId="0" fontId="69" fillId="0" borderId="99" xfId="47" applyFont="1" applyBorder="1">
      <alignment vertical="center"/>
    </xf>
    <xf numFmtId="205" fontId="69" fillId="0" borderId="0" xfId="47" applyNumberFormat="1" applyFont="1">
      <alignment vertical="center"/>
    </xf>
    <xf numFmtId="0" fontId="70" fillId="0" borderId="98" xfId="47" applyFont="1" applyBorder="1">
      <alignment vertical="center"/>
    </xf>
    <xf numFmtId="0" fontId="70" fillId="0" borderId="100" xfId="47" applyFont="1" applyBorder="1">
      <alignment vertical="center"/>
    </xf>
    <xf numFmtId="0" fontId="69" fillId="0" borderId="61" xfId="47" quotePrefix="1" applyFont="1" applyBorder="1" applyAlignment="1">
      <alignment horizontal="right" vertical="center"/>
    </xf>
    <xf numFmtId="0" fontId="69" fillId="0" borderId="61" xfId="47" applyFont="1" applyBorder="1">
      <alignment vertical="center"/>
    </xf>
    <xf numFmtId="49" fontId="69" fillId="0" borderId="61" xfId="47" applyNumberFormat="1" applyFont="1" applyBorder="1">
      <alignment vertical="center"/>
    </xf>
    <xf numFmtId="0" fontId="70" fillId="0" borderId="61" xfId="47" applyFont="1" applyBorder="1">
      <alignment vertical="center"/>
    </xf>
    <xf numFmtId="0" fontId="70" fillId="0" borderId="61" xfId="47" applyFont="1" applyBorder="1" applyAlignment="1">
      <alignment horizontal="center" vertical="center"/>
    </xf>
    <xf numFmtId="2" fontId="70" fillId="0" borderId="61" xfId="47" applyNumberFormat="1" applyFont="1" applyBorder="1">
      <alignment vertical="center"/>
    </xf>
    <xf numFmtId="0" fontId="69" fillId="0" borderId="61" xfId="47" applyFont="1" applyBorder="1" applyAlignment="1">
      <alignment horizontal="center" vertical="center"/>
    </xf>
    <xf numFmtId="205" fontId="69" fillId="0" borderId="61" xfId="47" applyNumberFormat="1" applyFont="1" applyBorder="1">
      <alignment vertical="center"/>
    </xf>
    <xf numFmtId="0" fontId="69" fillId="0" borderId="88" xfId="47" applyFont="1" applyBorder="1">
      <alignment vertical="center"/>
    </xf>
    <xf numFmtId="49" fontId="70" fillId="0" borderId="86" xfId="47" applyNumberFormat="1" applyFont="1" applyBorder="1">
      <alignment vertical="center"/>
    </xf>
    <xf numFmtId="0" fontId="74" fillId="0" borderId="0" xfId="47" applyFont="1">
      <alignment vertical="center"/>
    </xf>
    <xf numFmtId="0" fontId="63" fillId="0" borderId="86" xfId="47" applyBorder="1">
      <alignment vertical="center"/>
    </xf>
    <xf numFmtId="49" fontId="69" fillId="0" borderId="122" xfId="47" applyNumberFormat="1" applyFont="1" applyBorder="1" applyAlignment="1">
      <alignment horizontal="center" vertical="center"/>
    </xf>
    <xf numFmtId="0" fontId="69" fillId="0" borderId="76" xfId="47" applyFont="1" applyBorder="1">
      <alignment vertical="center"/>
    </xf>
    <xf numFmtId="0" fontId="69" fillId="0" borderId="76" xfId="47" applyFont="1" applyBorder="1" applyAlignment="1">
      <alignment horizontal="right" vertical="center"/>
    </xf>
    <xf numFmtId="0" fontId="69" fillId="0" borderId="76" xfId="47" applyFont="1" applyBorder="1" applyAlignment="1">
      <alignment vertical="center" wrapText="1"/>
    </xf>
    <xf numFmtId="0" fontId="69" fillId="0" borderId="76" xfId="47" applyFont="1" applyBorder="1" applyAlignment="1">
      <alignment horizontal="center" vertical="center"/>
    </xf>
    <xf numFmtId="49" fontId="74" fillId="0" borderId="76" xfId="47" applyNumberFormat="1" applyFont="1" applyBorder="1" applyAlignment="1">
      <alignment vertical="center" textRotation="255"/>
    </xf>
    <xf numFmtId="0" fontId="70" fillId="0" borderId="123" xfId="47" applyFont="1" applyBorder="1" applyAlignment="1">
      <alignment vertical="center" wrapText="1"/>
    </xf>
    <xf numFmtId="0" fontId="70" fillId="0" borderId="76" xfId="47" applyFont="1" applyBorder="1" applyAlignment="1">
      <alignment vertical="center" wrapText="1"/>
    </xf>
    <xf numFmtId="0" fontId="70" fillId="0" borderId="124" xfId="47" applyFont="1" applyBorder="1" applyAlignment="1">
      <alignment vertical="center" wrapText="1"/>
    </xf>
    <xf numFmtId="0" fontId="75" fillId="0" borderId="123" xfId="47" applyFont="1" applyBorder="1" applyAlignment="1">
      <alignment horizontal="center" vertical="center" wrapText="1"/>
    </xf>
    <xf numFmtId="0" fontId="75" fillId="0" borderId="76" xfId="47" applyFont="1" applyBorder="1" applyAlignment="1">
      <alignment horizontal="center" vertical="center" wrapText="1"/>
    </xf>
    <xf numFmtId="0" fontId="75" fillId="0" borderId="124" xfId="47" applyFont="1" applyBorder="1" applyAlignment="1">
      <alignment horizontal="center" vertical="center" wrapText="1"/>
    </xf>
    <xf numFmtId="0" fontId="7" fillId="0" borderId="76" xfId="47" applyFont="1" applyBorder="1">
      <alignment vertical="center"/>
    </xf>
    <xf numFmtId="0" fontId="7" fillId="0" borderId="125" xfId="47" applyFont="1" applyBorder="1">
      <alignment vertical="center"/>
    </xf>
    <xf numFmtId="0" fontId="52" fillId="0" borderId="123" xfId="47" applyFont="1" applyBorder="1" applyAlignment="1">
      <alignment horizontal="center" vertical="center"/>
    </xf>
    <xf numFmtId="0" fontId="52" fillId="0" borderId="76" xfId="47" applyFont="1" applyBorder="1" applyAlignment="1">
      <alignment horizontal="center" vertical="center"/>
    </xf>
    <xf numFmtId="0" fontId="52" fillId="0" borderId="124" xfId="47" applyFont="1" applyBorder="1" applyAlignment="1">
      <alignment horizontal="center" vertical="center"/>
    </xf>
    <xf numFmtId="0" fontId="52" fillId="0" borderId="123" xfId="47" applyFont="1" applyBorder="1" applyAlignment="1">
      <alignment horizontal="center" vertical="center" shrinkToFit="1"/>
    </xf>
    <xf numFmtId="0" fontId="52" fillId="0" borderId="76" xfId="47" applyFont="1" applyBorder="1" applyAlignment="1">
      <alignment horizontal="center" vertical="center" shrinkToFit="1"/>
    </xf>
    <xf numFmtId="0" fontId="52" fillId="0" borderId="124" xfId="47" applyFont="1" applyBorder="1" applyAlignment="1">
      <alignment horizontal="center" vertical="center" shrinkToFit="1"/>
    </xf>
    <xf numFmtId="0" fontId="2" fillId="0" borderId="76" xfId="47" applyFont="1" applyBorder="1" applyAlignment="1">
      <alignment horizontal="center" vertical="center"/>
    </xf>
    <xf numFmtId="0" fontId="5" fillId="0" borderId="76" xfId="47" applyFont="1" applyBorder="1">
      <alignment vertical="center"/>
    </xf>
    <xf numFmtId="0" fontId="69" fillId="0" borderId="75" xfId="47" applyFont="1" applyBorder="1" applyAlignment="1"/>
    <xf numFmtId="49" fontId="69" fillId="0" borderId="86" xfId="47" applyNumberFormat="1" applyFont="1" applyBorder="1" applyAlignment="1">
      <alignment horizontal="center" vertical="center"/>
    </xf>
    <xf numFmtId="0" fontId="69" fillId="0" borderId="0" xfId="47" applyFont="1" applyAlignment="1">
      <alignment horizontal="right" vertical="center"/>
    </xf>
    <xf numFmtId="0" fontId="69" fillId="0" borderId="0" xfId="47" applyFont="1" applyAlignment="1">
      <alignment vertical="center" wrapText="1"/>
    </xf>
    <xf numFmtId="49" fontId="74" fillId="0" borderId="0" xfId="47" applyNumberFormat="1" applyFont="1" applyAlignment="1">
      <alignment vertical="center" textRotation="255"/>
    </xf>
    <xf numFmtId="0" fontId="69" fillId="0" borderId="102" xfId="47" applyFont="1" applyBorder="1" applyAlignment="1">
      <alignment vertical="center" wrapText="1"/>
    </xf>
    <xf numFmtId="0" fontId="70" fillId="0" borderId="101" xfId="47" applyFont="1" applyBorder="1" applyAlignment="1">
      <alignment horizontal="centerContinuous" vertical="center" wrapText="1"/>
    </xf>
    <xf numFmtId="0" fontId="70" fillId="0" borderId="102" xfId="47" applyFont="1" applyBorder="1" applyAlignment="1">
      <alignment horizontal="centerContinuous" vertical="center" wrapText="1"/>
    </xf>
    <xf numFmtId="0" fontId="70" fillId="0" borderId="102" xfId="47" applyFont="1" applyBorder="1" applyAlignment="1">
      <alignment vertical="center" wrapText="1"/>
    </xf>
    <xf numFmtId="0" fontId="70" fillId="0" borderId="50" xfId="47" applyFont="1" applyBorder="1" applyAlignment="1">
      <alignment horizontal="centerContinuous" vertical="center" wrapText="1"/>
    </xf>
    <xf numFmtId="0" fontId="75" fillId="0" borderId="98" xfId="47" applyFont="1" applyBorder="1" applyAlignment="1">
      <alignment horizontal="center" vertical="center" wrapText="1"/>
    </xf>
    <xf numFmtId="0" fontId="75" fillId="0" borderId="0" xfId="47" applyFont="1" applyAlignment="1">
      <alignment horizontal="center" vertical="center" wrapText="1"/>
    </xf>
    <xf numFmtId="0" fontId="75" fillId="0" borderId="99" xfId="47" applyFont="1" applyBorder="1" applyAlignment="1">
      <alignment horizontal="center" vertical="center" wrapText="1"/>
    </xf>
    <xf numFmtId="0" fontId="7" fillId="0" borderId="102" xfId="47" applyFont="1" applyBorder="1">
      <alignment vertical="center"/>
    </xf>
    <xf numFmtId="0" fontId="7" fillId="0" borderId="48" xfId="47" applyFont="1" applyBorder="1">
      <alignment vertical="center"/>
    </xf>
    <xf numFmtId="0" fontId="52" fillId="0" borderId="98" xfId="47" applyFont="1" applyBorder="1" applyAlignment="1">
      <alignment horizontal="center" vertical="center"/>
    </xf>
    <xf numFmtId="0" fontId="52" fillId="0" borderId="0" xfId="47" applyFont="1" applyAlignment="1">
      <alignment horizontal="center" vertical="center"/>
    </xf>
    <xf numFmtId="0" fontId="52" fillId="0" borderId="99" xfId="47" applyFont="1" applyBorder="1" applyAlignment="1">
      <alignment horizontal="center" vertical="center"/>
    </xf>
    <xf numFmtId="0" fontId="52" fillId="0" borderId="98" xfId="47" applyFont="1" applyBorder="1" applyAlignment="1">
      <alignment horizontal="center" vertical="center" shrinkToFit="1"/>
    </xf>
    <xf numFmtId="0" fontId="52" fillId="0" borderId="0" xfId="47" applyFont="1" applyAlignment="1">
      <alignment horizontal="center" vertical="center" shrinkToFit="1"/>
    </xf>
    <xf numFmtId="0" fontId="52" fillId="0" borderId="99" xfId="47" applyFont="1" applyBorder="1" applyAlignment="1">
      <alignment horizontal="center" vertical="center" shrinkToFit="1"/>
    </xf>
    <xf numFmtId="0" fontId="2" fillId="0" borderId="0" xfId="47" applyFont="1" applyAlignment="1">
      <alignment horizontal="center" vertical="center"/>
    </xf>
    <xf numFmtId="0" fontId="5" fillId="0" borderId="0" xfId="47" applyFont="1">
      <alignment vertical="center"/>
    </xf>
    <xf numFmtId="0" fontId="69" fillId="0" borderId="87" xfId="47" applyFont="1" applyBorder="1" applyAlignment="1">
      <alignment vertical="top"/>
    </xf>
    <xf numFmtId="49" fontId="69" fillId="0" borderId="126" xfId="47" applyNumberFormat="1" applyFont="1" applyBorder="1" applyAlignment="1">
      <alignment horizontal="center" vertical="center"/>
    </xf>
    <xf numFmtId="0" fontId="69" fillId="0" borderId="104" xfId="47" applyFont="1" applyBorder="1">
      <alignment vertical="center"/>
    </xf>
    <xf numFmtId="0" fontId="69" fillId="0" borderId="104" xfId="47" applyFont="1" applyBorder="1" applyAlignment="1">
      <alignment horizontal="right" vertical="center"/>
    </xf>
    <xf numFmtId="0" fontId="69" fillId="0" borderId="104" xfId="47" applyFont="1" applyBorder="1" applyAlignment="1">
      <alignment vertical="center" wrapText="1"/>
    </xf>
    <xf numFmtId="0" fontId="69" fillId="0" borderId="104" xfId="47" applyFont="1" applyBorder="1" applyAlignment="1">
      <alignment horizontal="center" vertical="center"/>
    </xf>
    <xf numFmtId="0" fontId="64" fillId="0" borderId="104" xfId="47" applyFont="1" applyBorder="1" applyAlignment="1">
      <alignment vertical="top" wrapText="1"/>
    </xf>
    <xf numFmtId="0" fontId="72" fillId="0" borderId="104" xfId="47" applyFont="1" applyBorder="1">
      <alignment vertical="center"/>
    </xf>
    <xf numFmtId="0" fontId="70" fillId="0" borderId="103" xfId="47" applyFont="1" applyBorder="1">
      <alignment vertical="center"/>
    </xf>
    <xf numFmtId="0" fontId="70" fillId="0" borderId="104" xfId="47" applyFont="1" applyBorder="1">
      <alignment vertical="center"/>
    </xf>
    <xf numFmtId="0" fontId="70" fillId="0" borderId="104" xfId="47" applyFont="1" applyBorder="1" applyAlignment="1">
      <alignment vertical="center" wrapText="1"/>
    </xf>
    <xf numFmtId="0" fontId="70" fillId="0" borderId="68" xfId="47" applyFont="1" applyBorder="1" applyAlignment="1">
      <alignment vertical="center" wrapText="1"/>
    </xf>
    <xf numFmtId="0" fontId="7" fillId="0" borderId="104" xfId="47" applyFont="1" applyBorder="1">
      <alignment vertical="center"/>
    </xf>
    <xf numFmtId="49" fontId="7" fillId="0" borderId="127" xfId="47" applyNumberFormat="1" applyFont="1" applyBorder="1" applyAlignment="1"/>
    <xf numFmtId="49" fontId="7" fillId="0" borderId="104" xfId="47" applyNumberFormat="1" applyFont="1" applyBorder="1" applyAlignment="1"/>
    <xf numFmtId="0" fontId="3" fillId="0" borderId="0" xfId="47" quotePrefix="1" applyFont="1" applyAlignment="1">
      <alignment horizontal="center" vertical="center"/>
    </xf>
    <xf numFmtId="0" fontId="3" fillId="0" borderId="0" xfId="47" applyFont="1" applyAlignment="1">
      <alignment horizontal="center" vertical="center"/>
    </xf>
    <xf numFmtId="0" fontId="2" fillId="0" borderId="0" xfId="47" applyFont="1">
      <alignment vertical="center"/>
    </xf>
    <xf numFmtId="0" fontId="2" fillId="0" borderId="87" xfId="47" applyFont="1" applyBorder="1">
      <alignment vertical="center"/>
    </xf>
    <xf numFmtId="49" fontId="69" fillId="0" borderId="128" xfId="47" applyNumberFormat="1" applyFont="1" applyBorder="1" applyAlignment="1">
      <alignment horizontal="center" vertical="center"/>
    </xf>
    <xf numFmtId="0" fontId="69" fillId="0" borderId="102" xfId="47" applyFont="1" applyBorder="1">
      <alignment vertical="center"/>
    </xf>
    <xf numFmtId="0" fontId="69" fillId="0" borderId="102" xfId="47" applyFont="1" applyBorder="1" applyAlignment="1">
      <alignment horizontal="right" vertical="center"/>
    </xf>
    <xf numFmtId="0" fontId="64" fillId="0" borderId="102" xfId="47" applyFont="1" applyBorder="1" applyAlignment="1">
      <alignment vertical="top" wrapText="1"/>
    </xf>
    <xf numFmtId="0" fontId="72" fillId="0" borderId="102" xfId="47" applyFont="1" applyBorder="1">
      <alignment vertical="center"/>
    </xf>
    <xf numFmtId="0" fontId="72" fillId="0" borderId="102" xfId="47" applyFont="1" applyBorder="1" applyAlignment="1">
      <alignment vertical="center" wrapText="1"/>
    </xf>
    <xf numFmtId="0" fontId="70" fillId="0" borderId="101" xfId="47" applyFont="1" applyBorder="1">
      <alignment vertical="center"/>
    </xf>
    <xf numFmtId="0" fontId="70" fillId="0" borderId="102" xfId="47" applyFont="1" applyBorder="1">
      <alignment vertical="center"/>
    </xf>
    <xf numFmtId="0" fontId="70" fillId="0" borderId="50" xfId="47" applyFont="1" applyBorder="1" applyAlignment="1">
      <alignment vertical="center" wrapText="1"/>
    </xf>
    <xf numFmtId="0" fontId="7" fillId="0" borderId="0" xfId="47" applyFont="1">
      <alignment vertical="center"/>
    </xf>
    <xf numFmtId="49" fontId="7" fillId="0" borderId="129" xfId="47" applyNumberFormat="1" applyFont="1" applyBorder="1" applyAlignment="1"/>
    <xf numFmtId="49" fontId="7" fillId="0" borderId="0" xfId="47" applyNumberFormat="1" applyFont="1" applyAlignment="1"/>
    <xf numFmtId="0" fontId="52" fillId="0" borderId="100" xfId="47" applyFont="1" applyBorder="1" applyAlignment="1">
      <alignment horizontal="center" vertical="center"/>
    </xf>
    <xf numFmtId="0" fontId="52" fillId="0" borderId="61" xfId="47" applyFont="1" applyBorder="1" applyAlignment="1">
      <alignment horizontal="center" vertical="center"/>
    </xf>
    <xf numFmtId="0" fontId="52" fillId="0" borderId="88" xfId="47" applyFont="1" applyBorder="1" applyAlignment="1">
      <alignment horizontal="center" vertical="center"/>
    </xf>
    <xf numFmtId="0" fontId="52" fillId="0" borderId="100" xfId="47" applyFont="1" applyBorder="1" applyAlignment="1">
      <alignment horizontal="center" vertical="center" shrinkToFit="1"/>
    </xf>
    <xf numFmtId="0" fontId="52" fillId="0" borderId="61" xfId="47" applyFont="1" applyBorder="1" applyAlignment="1">
      <alignment horizontal="center" vertical="center" shrinkToFit="1"/>
    </xf>
    <xf numFmtId="0" fontId="52" fillId="0" borderId="88" xfId="47" applyFont="1" applyBorder="1" applyAlignment="1">
      <alignment horizontal="center" vertical="center" shrinkToFit="1"/>
    </xf>
    <xf numFmtId="49" fontId="69" fillId="0" borderId="80" xfId="47" applyNumberFormat="1" applyFont="1" applyBorder="1" applyAlignment="1">
      <alignment horizontal="center" vertical="center"/>
    </xf>
    <xf numFmtId="0" fontId="69" fillId="0" borderId="89" xfId="47" applyFont="1" applyBorder="1">
      <alignment vertical="center"/>
    </xf>
    <xf numFmtId="0" fontId="69" fillId="0" borderId="89" xfId="47" applyFont="1" applyBorder="1" applyAlignment="1">
      <alignment horizontal="right" vertical="center"/>
    </xf>
    <xf numFmtId="0" fontId="69" fillId="0" borderId="89" xfId="47" applyFont="1" applyBorder="1" applyAlignment="1">
      <alignment vertical="center" wrapText="1"/>
    </xf>
    <xf numFmtId="0" fontId="69" fillId="0" borderId="89" xfId="47" applyFont="1" applyBorder="1" applyAlignment="1">
      <alignment horizontal="center" vertical="center"/>
    </xf>
    <xf numFmtId="0" fontId="64" fillId="0" borderId="89" xfId="47" applyFont="1" applyBorder="1" applyAlignment="1">
      <alignment vertical="top" wrapText="1"/>
    </xf>
    <xf numFmtId="0" fontId="64" fillId="0" borderId="89" xfId="47" applyFont="1" applyBorder="1">
      <alignment vertical="center"/>
    </xf>
    <xf numFmtId="0" fontId="70" fillId="0" borderId="109" xfId="47" applyFont="1" applyBorder="1">
      <alignment vertical="center"/>
    </xf>
    <xf numFmtId="0" fontId="70" fillId="0" borderId="110" xfId="47" applyFont="1" applyBorder="1">
      <alignment vertical="center"/>
    </xf>
    <xf numFmtId="0" fontId="70" fillId="0" borderId="89" xfId="47" applyFont="1" applyBorder="1">
      <alignment vertical="center"/>
    </xf>
    <xf numFmtId="0" fontId="70" fillId="0" borderId="110" xfId="47" applyFont="1" applyBorder="1" applyAlignment="1">
      <alignment horizontal="center" vertical="center"/>
    </xf>
    <xf numFmtId="0" fontId="70" fillId="0" borderId="111" xfId="47" applyFont="1" applyBorder="1" applyAlignment="1">
      <alignment horizontal="center" vertical="center"/>
    </xf>
    <xf numFmtId="0" fontId="75" fillId="0" borderId="107" xfId="47" applyFont="1" applyBorder="1" applyAlignment="1">
      <alignment horizontal="center" vertical="center" wrapText="1"/>
    </xf>
    <xf numFmtId="0" fontId="75" fillId="0" borderId="89" xfId="47" applyFont="1" applyBorder="1" applyAlignment="1">
      <alignment horizontal="center" vertical="center" wrapText="1"/>
    </xf>
    <xf numFmtId="0" fontId="75" fillId="0" borderId="108" xfId="47" applyFont="1" applyBorder="1" applyAlignment="1">
      <alignment horizontal="center" vertical="center" wrapText="1"/>
    </xf>
    <xf numFmtId="49" fontId="5" fillId="0" borderId="84" xfId="47" applyNumberFormat="1" applyFont="1" applyBorder="1" applyAlignment="1">
      <alignment horizontal="centerContinuous" vertical="center" shrinkToFit="1"/>
    </xf>
    <xf numFmtId="49" fontId="5" fillId="0" borderId="82" xfId="47" applyNumberFormat="1" applyFont="1" applyBorder="1" applyAlignment="1">
      <alignment horizontal="centerContinuous" vertical="center" shrinkToFit="1"/>
    </xf>
    <xf numFmtId="49" fontId="5" fillId="0" borderId="83" xfId="47" applyNumberFormat="1" applyFont="1" applyBorder="1" applyAlignment="1">
      <alignment horizontal="centerContinuous" vertical="center" shrinkToFit="1"/>
    </xf>
    <xf numFmtId="49" fontId="2" fillId="0" borderId="84" xfId="47" applyNumberFormat="1" applyFont="1" applyBorder="1" applyAlignment="1">
      <alignment horizontal="center" vertical="center"/>
    </xf>
    <xf numFmtId="49" fontId="2" fillId="0" borderId="82" xfId="47" applyNumberFormat="1" applyFont="1" applyBorder="1" applyAlignment="1">
      <alignment horizontal="center" vertical="center"/>
    </xf>
    <xf numFmtId="49" fontId="2" fillId="0" borderId="83" xfId="47" applyNumberFormat="1" applyFont="1" applyBorder="1" applyAlignment="1">
      <alignment horizontal="center" vertical="center"/>
    </xf>
    <xf numFmtId="49" fontId="7" fillId="0" borderId="84" xfId="47" applyNumberFormat="1" applyFont="1" applyBorder="1" applyAlignment="1">
      <alignment horizontal="center" vertical="center" wrapText="1"/>
    </xf>
    <xf numFmtId="49" fontId="7" fillId="0" borderId="82" xfId="47" applyNumberFormat="1" applyFont="1" applyBorder="1" applyAlignment="1">
      <alignment horizontal="center" vertical="center" wrapText="1"/>
    </xf>
    <xf numFmtId="49" fontId="7" fillId="0" borderId="83" xfId="47" applyNumberFormat="1" applyFont="1" applyBorder="1" applyAlignment="1">
      <alignment horizontal="center" vertical="center" wrapText="1"/>
    </xf>
    <xf numFmtId="0" fontId="65" fillId="0" borderId="89" xfId="47" applyFont="1" applyBorder="1">
      <alignment vertical="center"/>
    </xf>
    <xf numFmtId="0" fontId="3" fillId="0" borderId="89" xfId="47" applyFont="1" applyBorder="1" applyAlignment="1">
      <alignment horizontal="center" vertical="center"/>
    </xf>
    <xf numFmtId="0" fontId="3" fillId="0" borderId="81" xfId="47" applyFont="1" applyBorder="1" applyAlignment="1">
      <alignment horizontal="center" vertical="center"/>
    </xf>
    <xf numFmtId="0" fontId="76" fillId="0" borderId="0" xfId="47" applyFont="1">
      <alignment vertical="center"/>
    </xf>
    <xf numFmtId="0" fontId="54" fillId="0" borderId="0" xfId="43" applyFont="1" applyAlignment="1">
      <alignment vertical="center"/>
    </xf>
    <xf numFmtId="0" fontId="5" fillId="0" borderId="71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5" fillId="0" borderId="100" xfId="0" applyFont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8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30" xfId="0" applyFont="1" applyBorder="1" applyAlignment="1">
      <alignment vertical="center"/>
    </xf>
    <xf numFmtId="0" fontId="5" fillId="0" borderId="37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0" borderId="51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0" fontId="5" fillId="0" borderId="32" xfId="0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70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14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/>
    </xf>
    <xf numFmtId="0" fontId="5" fillId="0" borderId="55" xfId="0" applyFont="1" applyBorder="1" applyAlignment="1">
      <alignment vertical="center"/>
    </xf>
    <xf numFmtId="0" fontId="5" fillId="0" borderId="54" xfId="0" applyFont="1" applyBorder="1" applyAlignment="1">
      <alignment vertical="center"/>
    </xf>
    <xf numFmtId="0" fontId="5" fillId="0" borderId="69" xfId="0" applyFont="1" applyBorder="1" applyAlignment="1">
      <alignment vertical="center"/>
    </xf>
  </cellXfs>
  <cellStyles count="49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" xfId="33" builtinId="6"/>
    <cellStyle name="桁区切り 2" xfId="44" xr:uid="{5F8C5A75-708D-47A4-8A6D-B42DA71349CF}"/>
    <cellStyle name="桁区切り 3" xfId="46" xr:uid="{A2CE634E-4508-41DD-874C-060A4D7C7505}"/>
    <cellStyle name="桁区切り 4" xfId="48" xr:uid="{A45C3071-5225-443F-AE86-7BB7B6669FC1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3" xr:uid="{00000000-0005-0000-0000-00002A000000}"/>
    <cellStyle name="標準 3" xfId="45" xr:uid="{09F01E66-0EBC-4CD7-A860-7DA003705A43}"/>
    <cellStyle name="標準 4" xfId="47" xr:uid="{3E5E6340-4A74-46E6-975F-3437C9515744}"/>
    <cellStyle name="良い" xfId="42" builtinId="26" customBuiltin="1"/>
  </cellStyles>
  <dxfs count="18"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33333"/>
        <name val="メイリオ"/>
        <family val="3"/>
        <charset val="128"/>
        <scheme val="none"/>
      </font>
      <fill>
        <patternFill patternType="solid">
          <fgColor indexed="64"/>
          <bgColor rgb="FFF6F6F6"/>
        </patternFill>
      </fill>
      <alignment horizontal="left" vertical="top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/>
        <vertical/>
        <horizontal/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メイリオ"/>
        <family val="3"/>
        <charset val="128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333333"/>
        <name val="メイリオ"/>
        <family val="3"/>
        <charset val="128"/>
        <scheme val="none"/>
      </font>
      <fill>
        <patternFill patternType="solid">
          <fgColor indexed="64"/>
          <bgColor rgb="FFF6F6F6"/>
        </patternFill>
      </fill>
      <alignment horizontal="left" vertical="top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35170</xdr:colOff>
      <xdr:row>3</xdr:row>
      <xdr:rowOff>41031</xdr:rowOff>
    </xdr:from>
    <xdr:to>
      <xdr:col>26</xdr:col>
      <xdr:colOff>568571</xdr:colOff>
      <xdr:row>3</xdr:row>
      <xdr:rowOff>252046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6471139" y="627185"/>
          <a:ext cx="533401" cy="211015"/>
        </a:xfrm>
        <a:prstGeom prst="ellipse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99648</xdr:colOff>
      <xdr:row>10</xdr:row>
      <xdr:rowOff>11723</xdr:rowOff>
    </xdr:from>
    <xdr:to>
      <xdr:col>26</xdr:col>
      <xdr:colOff>328247</xdr:colOff>
      <xdr:row>10</xdr:row>
      <xdr:rowOff>228599</xdr:rowOff>
    </xdr:to>
    <xdr:sp macro="" textlink="">
      <xdr:nvSpPr>
        <xdr:cNvPr id="3" name="楕円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6535617" y="2221523"/>
          <a:ext cx="228599" cy="216876"/>
        </a:xfrm>
        <a:prstGeom prst="ellipse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39</xdr:row>
      <xdr:rowOff>240029</xdr:rowOff>
    </xdr:from>
    <xdr:to>
      <xdr:col>32</xdr:col>
      <xdr:colOff>38100</xdr:colOff>
      <xdr:row>44</xdr:row>
      <xdr:rowOff>257174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163175" y="8869679"/>
          <a:ext cx="1752600" cy="1350645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	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熱伝導率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W/m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・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K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 b="0" i="0" baseline="0">
              <a:effectLst/>
              <a:latin typeface="+mn-lt"/>
              <a:ea typeface="+mn-ea"/>
              <a:cs typeface="+mn-cs"/>
            </a:rPr>
            <a:t>断熱パネル</a:t>
          </a:r>
          <a:r>
            <a:rPr kumimoji="1" lang="en-US" altLang="ja-JP" sz="900" b="0" i="0" baseline="0">
              <a:effectLst/>
              <a:latin typeface="+mn-lt"/>
              <a:ea typeface="+mn-ea"/>
              <a:cs typeface="+mn-cs"/>
            </a:rPr>
            <a:t>	0.021</a:t>
          </a:r>
          <a:endParaRPr lang="ja-JP" altLang="ja-JP" sz="9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ﾎﾟﾘｽﾁﾚﾝﾌｫｰﾑ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	0.028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発泡ウレタン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	0.034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900" b="0" i="0" baseline="0">
              <a:effectLst/>
              <a:latin typeface="+mn-lt"/>
              <a:ea typeface="+mn-ea"/>
              <a:cs typeface="+mn-cs"/>
            </a:rPr>
            <a:t>ALC	0.19</a:t>
          </a:r>
          <a:endParaRPr lang="ja-JP" altLang="ja-JP" sz="9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900" b="0" i="0" baseline="0">
              <a:effectLst/>
              <a:latin typeface="+mn-lt"/>
              <a:ea typeface="+mn-ea"/>
              <a:cs typeface="+mn-cs"/>
            </a:rPr>
            <a:t>コンクリート</a:t>
          </a:r>
          <a:r>
            <a:rPr kumimoji="1" lang="en-US" altLang="ja-JP" sz="900" b="0" i="0" baseline="0">
              <a:effectLst/>
              <a:latin typeface="+mn-lt"/>
              <a:ea typeface="+mn-ea"/>
              <a:cs typeface="+mn-cs"/>
            </a:rPr>
            <a:t>	1.4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baseline="0">
              <a:effectLst/>
              <a:latin typeface="+mn-lt"/>
              <a:ea typeface="+mn-ea"/>
              <a:cs typeface="+mn-cs"/>
            </a:rPr>
            <a:t>スタイロフォーム　 </a:t>
          </a:r>
          <a:r>
            <a:rPr kumimoji="1" lang="en-US" altLang="ja-JP" sz="900" b="0" i="0" baseline="0">
              <a:effectLst/>
              <a:latin typeface="+mn-lt"/>
              <a:ea typeface="+mn-ea"/>
              <a:cs typeface="+mn-cs"/>
            </a:rPr>
            <a:t>0.22</a:t>
          </a:r>
          <a:endParaRPr lang="ja-JP" altLang="ja-JP" sz="900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</xdr:txBody>
    </xdr:sp>
    <xdr:clientData/>
  </xdr:twoCellAnchor>
  <xdr:twoCellAnchor>
    <xdr:from>
      <xdr:col>14</xdr:col>
      <xdr:colOff>38100</xdr:colOff>
      <xdr:row>39</xdr:row>
      <xdr:rowOff>228600</xdr:rowOff>
    </xdr:from>
    <xdr:to>
      <xdr:col>25</xdr:col>
      <xdr:colOff>247650</xdr:colOff>
      <xdr:row>51</xdr:row>
      <xdr:rowOff>228600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086475" y="8867775"/>
          <a:ext cx="468630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00" b="1"/>
            <a:t>設計条件</a:t>
          </a:r>
          <a:endParaRPr kumimoji="1" lang="en-US" altLang="ja-JP" sz="1000" b="1"/>
        </a:p>
        <a:p>
          <a:r>
            <a:rPr kumimoji="1" lang="ja-JP" altLang="en-US" sz="1000"/>
            <a:t>１．入温</a:t>
          </a:r>
          <a:endParaRPr kumimoji="1" lang="en-US" altLang="ja-JP" sz="1000"/>
        </a:p>
        <a:p>
          <a:r>
            <a:rPr kumimoji="1" lang="ja-JP" altLang="en-US" sz="1000"/>
            <a:t>①冷蔵　⇒　</a:t>
          </a:r>
          <a:r>
            <a:rPr kumimoji="1" lang="en-US" altLang="ja-JP" sz="1000"/>
            <a:t>10℃</a:t>
          </a:r>
        </a:p>
        <a:p>
          <a:r>
            <a:rPr kumimoji="1" lang="ja-JP" altLang="en-US" sz="1000"/>
            <a:t>②冷凍⇒</a:t>
          </a:r>
          <a:r>
            <a:rPr kumimoji="1" lang="en-US" altLang="ja-JP" sz="1000"/>
            <a:t>-15</a:t>
          </a:r>
          <a:r>
            <a:rPr kumimoji="1" lang="ja-JP" altLang="en-US" sz="1000"/>
            <a:t>℃</a:t>
          </a:r>
          <a:endParaRPr kumimoji="1" lang="en-US" altLang="ja-JP" sz="1000"/>
        </a:p>
        <a:p>
          <a:endParaRPr kumimoji="1" lang="en-US" altLang="ja-JP" sz="1000"/>
        </a:p>
        <a:p>
          <a:r>
            <a:rPr kumimoji="1" lang="ja-JP" altLang="en-US" sz="1000"/>
            <a:t>２．入庫量</a:t>
          </a:r>
          <a:endParaRPr kumimoji="1" lang="en-US" altLang="ja-JP" sz="1000"/>
        </a:p>
        <a:p>
          <a:r>
            <a:rPr kumimoji="1" lang="ja-JP" altLang="en-US" sz="1000"/>
            <a:t>倉庫業法に准ずる</a:t>
          </a:r>
          <a:endParaRPr kumimoji="1" lang="en-US" altLang="ja-JP" sz="1000"/>
        </a:p>
        <a:p>
          <a:r>
            <a:rPr kumimoji="1" lang="ja-JP" altLang="en-US" sz="1000"/>
            <a:t>容積</a:t>
          </a:r>
          <a:r>
            <a:rPr kumimoji="1" lang="en-US" altLang="ja-JP" sz="1000"/>
            <a:t>×400</a:t>
          </a:r>
          <a:r>
            <a:rPr kumimoji="1" lang="ja-JP" altLang="en-US" sz="1000"/>
            <a:t>㎏</a:t>
          </a:r>
          <a:r>
            <a:rPr kumimoji="1" lang="en-US" altLang="ja-JP" sz="1000"/>
            <a:t>×3%</a:t>
          </a:r>
          <a:r>
            <a:rPr kumimoji="1" lang="ja-JP" altLang="en-US" sz="1000"/>
            <a:t>＝一日の入出荷量</a:t>
          </a:r>
          <a:endParaRPr kumimoji="1" lang="en-US" altLang="ja-JP" sz="1000"/>
        </a:p>
        <a:p>
          <a:endParaRPr kumimoji="1" lang="en-US" altLang="ja-JP" sz="1000"/>
        </a:p>
        <a:p>
          <a:r>
            <a:rPr kumimoji="1" lang="ja-JP" altLang="en-US" sz="1000"/>
            <a:t>３．比熱</a:t>
          </a:r>
          <a:endParaRPr kumimoji="1" lang="en-US" altLang="ja-JP" sz="1000"/>
        </a:p>
        <a:p>
          <a:r>
            <a:rPr kumimoji="1" lang="ja-JP" altLang="en-US" sz="1000"/>
            <a:t>メイン商品が不明なため、倉庫業法に准ずる</a:t>
          </a:r>
          <a:endParaRPr kumimoji="1" lang="en-US" altLang="ja-JP" sz="1000"/>
        </a:p>
        <a:p>
          <a:r>
            <a:rPr kumimoji="1" lang="ja-JP" altLang="en-US" sz="1000"/>
            <a:t>①凍結前比熱　⇒　</a:t>
          </a:r>
          <a:r>
            <a:rPr kumimoji="1" lang="en-US" altLang="ja-JP" sz="1000"/>
            <a:t>3.36KJ</a:t>
          </a:r>
          <a:r>
            <a:rPr kumimoji="1" lang="ja-JP" altLang="en-US" sz="1000"/>
            <a:t>／</a:t>
          </a:r>
          <a:r>
            <a:rPr kumimoji="1" lang="en-US" altLang="ja-JP" sz="1000"/>
            <a:t>kg</a:t>
          </a:r>
          <a:r>
            <a:rPr kumimoji="1" lang="ja-JP" altLang="en-US" sz="1000"/>
            <a:t>・</a:t>
          </a:r>
          <a:r>
            <a:rPr kumimoji="1" lang="en-US" altLang="ja-JP" sz="1000"/>
            <a:t>K</a:t>
          </a:r>
        </a:p>
        <a:p>
          <a:r>
            <a:rPr kumimoji="1" lang="ja-JP" altLang="en-US" sz="1000"/>
            <a:t>②凍結後比熱　⇒　</a:t>
          </a:r>
          <a:r>
            <a:rPr kumimoji="1" lang="en-US" altLang="ja-JP" sz="1000"/>
            <a:t>1.68KJ</a:t>
          </a:r>
          <a:r>
            <a:rPr kumimoji="1" lang="ja-JP" altLang="en-US" sz="1000"/>
            <a:t>／</a:t>
          </a:r>
          <a:r>
            <a:rPr kumimoji="1" lang="en-US" altLang="ja-JP" sz="1000"/>
            <a:t>kg</a:t>
          </a:r>
          <a:r>
            <a:rPr kumimoji="1" lang="ja-JP" altLang="en-US" sz="1000"/>
            <a:t>・</a:t>
          </a:r>
          <a:r>
            <a:rPr kumimoji="1" lang="en-US" altLang="ja-JP" sz="1000"/>
            <a:t>K</a:t>
          </a:r>
        </a:p>
        <a:p>
          <a:endParaRPr kumimoji="1" lang="en-US" altLang="ja-JP" sz="1000"/>
        </a:p>
        <a:p>
          <a:r>
            <a:rPr kumimoji="1" lang="ja-JP" altLang="en-US" sz="1000"/>
            <a:t>４．庫外温度</a:t>
          </a:r>
          <a:endParaRPr kumimoji="1" lang="en-US" altLang="ja-JP" sz="1000"/>
        </a:p>
        <a:p>
          <a:r>
            <a:rPr kumimoji="1" lang="ja-JP" altLang="en-US" sz="1000"/>
            <a:t>①天井裏　⇒　低温庫に挟まれている場合　</a:t>
          </a:r>
          <a:r>
            <a:rPr kumimoji="1" lang="en-US" altLang="ja-JP" sz="1000"/>
            <a:t>25℃</a:t>
          </a:r>
        </a:p>
        <a:p>
          <a:r>
            <a:rPr kumimoji="1" lang="ja-JP" altLang="en-US" sz="1000"/>
            <a:t>②天井裏　⇒　上部が屋根　外気温</a:t>
          </a:r>
          <a:r>
            <a:rPr kumimoji="1" lang="en-US" altLang="ja-JP" sz="1000"/>
            <a:t>35℃+10℃</a:t>
          </a:r>
          <a:r>
            <a:rPr kumimoji="1" lang="ja-JP" altLang="en-US" sz="1000"/>
            <a:t>＝</a:t>
          </a:r>
          <a:r>
            <a:rPr kumimoji="1" lang="en-US" altLang="ja-JP" sz="1000"/>
            <a:t>45</a:t>
          </a:r>
          <a:r>
            <a:rPr kumimoji="1" lang="ja-JP" altLang="en-US" sz="1000"/>
            <a:t>℃</a:t>
          </a:r>
          <a:endParaRPr kumimoji="1" lang="en-US" altLang="ja-JP" sz="1000"/>
        </a:p>
        <a:p>
          <a:r>
            <a:rPr kumimoji="1" lang="ja-JP" altLang="en-US" sz="1000"/>
            <a:t>③床下</a:t>
          </a:r>
          <a:r>
            <a:rPr kumimoji="1" lang="ja-JP" altLang="en-US" sz="1000" baseline="0"/>
            <a:t>    </a:t>
          </a:r>
          <a:r>
            <a:rPr kumimoji="1" lang="ja-JP" altLang="en-US" sz="1000"/>
            <a:t>　⇒　</a:t>
          </a:r>
          <a:r>
            <a:rPr kumimoji="1" lang="en-US" altLang="ja-JP" sz="1000"/>
            <a:t>20℃</a:t>
          </a:r>
        </a:p>
        <a:p>
          <a:endParaRPr kumimoji="1" lang="ja-JP" altLang="en-US" sz="1100"/>
        </a:p>
      </xdr:txBody>
    </xdr:sp>
    <xdr:clientData/>
  </xdr:twoCellAnchor>
  <xdr:twoCellAnchor>
    <xdr:from>
      <xdr:col>37</xdr:col>
      <xdr:colOff>47625</xdr:colOff>
      <xdr:row>39</xdr:row>
      <xdr:rowOff>247650</xdr:rowOff>
    </xdr:from>
    <xdr:to>
      <xdr:col>45</xdr:col>
      <xdr:colOff>9525</xdr:colOff>
      <xdr:row>43</xdr:row>
      <xdr:rowOff>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5144750" y="8886825"/>
          <a:ext cx="3009900" cy="81915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複数箇所からの侵入空気有る場合、各負荷計算書参照</a:t>
          </a:r>
          <a:endParaRPr kumimoji="1" lang="en-US" altLang="ja-JP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侵入空気が庫内温度より低い場合は無視する</a:t>
          </a:r>
          <a:endParaRPr kumimoji="1" lang="en-US" altLang="ja-JP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</xdr:txBody>
    </xdr:sp>
    <xdr:clientData/>
  </xdr:twoCellAnchor>
  <xdr:twoCellAnchor>
    <xdr:from>
      <xdr:col>7</xdr:col>
      <xdr:colOff>47625</xdr:colOff>
      <xdr:row>39</xdr:row>
      <xdr:rowOff>220980</xdr:rowOff>
    </xdr:from>
    <xdr:to>
      <xdr:col>12</xdr:col>
      <xdr:colOff>1905</xdr:colOff>
      <xdr:row>41</xdr:row>
      <xdr:rowOff>251460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263265" y="8854440"/>
          <a:ext cx="1752600" cy="56388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平米負荷</a:t>
          </a:r>
          <a:endParaRPr kumimoji="1" lang="en-US" altLang="ja-JP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冷蔵：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100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～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200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　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Kcal/h㎡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冷凍：約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100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　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Kcal/h㎡</a:t>
          </a:r>
          <a:endParaRPr kumimoji="1" lang="ja-JP" altLang="en-US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</xdr:txBody>
    </xdr:sp>
    <xdr:clientData/>
  </xdr:twoCellAnchor>
  <xdr:twoCellAnchor>
    <xdr:from>
      <xdr:col>7</xdr:col>
      <xdr:colOff>45720</xdr:colOff>
      <xdr:row>42</xdr:row>
      <xdr:rowOff>76200</xdr:rowOff>
    </xdr:from>
    <xdr:to>
      <xdr:col>12</xdr:col>
      <xdr:colOff>0</xdr:colOff>
      <xdr:row>45</xdr:row>
      <xdr:rowOff>15240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3261360" y="9509760"/>
          <a:ext cx="1752600" cy="739140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水の比熱</a:t>
          </a:r>
          <a:endParaRPr kumimoji="1" lang="en-US" altLang="ja-JP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凍結前：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4.2KJ/kg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・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K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潜    熱：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334KJ/kg</a:t>
          </a: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・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K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凍結後：凍結前</a:t>
          </a:r>
          <a:r>
            <a:rPr kumimoji="1" lang="en-US" altLang="ja-JP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ＭＳ Ｐゴシック" panose="020B0600070205080204" pitchFamily="50" charset="-128"/>
              <a:cs typeface="+mn-cs"/>
            </a:rPr>
            <a:t>/2</a:t>
          </a:r>
          <a:endParaRPr kumimoji="1" lang="ja-JP" altLang="en-US" sz="9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ＭＳ Ｐゴシック" panose="020B0600070205080204" pitchFamily="50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0</xdr:row>
          <xdr:rowOff>171450</xdr:rowOff>
        </xdr:from>
        <xdr:to>
          <xdr:col>16</xdr:col>
          <xdr:colOff>390525</xdr:colOff>
          <xdr:row>1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117</xdr:col>
      <xdr:colOff>90487</xdr:colOff>
      <xdr:row>85</xdr:row>
      <xdr:rowOff>11906</xdr:rowOff>
    </xdr:from>
    <xdr:to>
      <xdr:col>118</xdr:col>
      <xdr:colOff>47625</xdr:colOff>
      <xdr:row>86</xdr:row>
      <xdr:rowOff>57149</xdr:rowOff>
    </xdr:to>
    <xdr:sp macro="" textlink="">
      <xdr:nvSpPr>
        <xdr:cNvPr id="2" name="Line 94">
          <a:extLst>
            <a:ext uri="{FF2B5EF4-FFF2-40B4-BE49-F238E27FC236}">
              <a16:creationId xmlns:a16="http://schemas.microsoft.com/office/drawing/2014/main" id="{21388F62-219A-4971-8C67-6933BD1DC00D}"/>
            </a:ext>
          </a:extLst>
        </xdr:cNvPr>
        <xdr:cNvSpPr>
          <a:spLocks noChangeShapeType="1"/>
        </xdr:cNvSpPr>
      </xdr:nvSpPr>
      <xdr:spPr bwMode="auto">
        <a:xfrm flipV="1">
          <a:off x="31056262" y="21738431"/>
          <a:ext cx="204788" cy="216693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2EDC96-F3B6-4104-8CFC-819B00162668}" name="table01" displayName="table01" ref="O12:W128" totalsRowShown="0" headerRowDxfId="17" dataDxfId="16" tableBorderDxfId="15">
  <autoFilter ref="O12:W128" xr:uid="{662EDC96-F3B6-4104-8CFC-819B00162668}"/>
  <tableColumns count="9">
    <tableColumn id="1" xr3:uid="{AAD4913D-DABB-4372-9ED5-34239BC38C75}" name="食品名" dataDxfId="14"/>
    <tableColumn id="2" xr3:uid="{666AE0D6-B950-4790-B257-63C3BC1F7405}" name="貯蔵温度[℃]" dataDxfId="13"/>
    <tableColumn id="3" xr3:uid="{8ABE7FAB-B53B-4C03-B1F2-30386CB70674}" name="相対湿度" dataDxfId="12"/>
    <tableColumn id="4" xr3:uid="{F9AF1004-6E68-4EC0-AAC4-23B3C1FA7D9E}" name="貯蔵期間" dataDxfId="11"/>
    <tableColumn id="5" xr3:uid="{38AF958B-35F6-4889-BC12-1B625D3B9DD6}" name="水分含量[%]" dataDxfId="10"/>
    <tableColumn id="6" xr3:uid="{8FACEA63-7DA5-44C4-9031-20833BC52C2F}" name="凍結点" dataDxfId="9"/>
    <tableColumn id="7" xr3:uid="{A1B5D985-2265-49A1-8409-4BA141B45D22}" name="凍結前比熱" dataDxfId="8"/>
    <tableColumn id="8" xr3:uid="{6DF0EAA4-01A1-411B-B608-3F33623BDE82}" name="凍結後比熱" dataDxfId="7"/>
    <tableColumn id="9" xr3:uid="{AE2B4D64-CF67-4CAF-9A2E-720D97181FC2}" name="凍結潜熱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128"/>
  <sheetViews>
    <sheetView topLeftCell="B1" zoomScale="85" zoomScaleNormal="85" workbookViewId="0">
      <selection activeCell="U95" sqref="U95"/>
    </sheetView>
  </sheetViews>
  <sheetFormatPr defaultRowHeight="13.5" x14ac:dyDescent="0.15"/>
  <cols>
    <col min="2" max="2" width="14" customWidth="1"/>
    <col min="3" max="3" width="15.875" customWidth="1"/>
    <col min="4" max="4" width="14.5" customWidth="1"/>
    <col min="5" max="5" width="10.625" customWidth="1"/>
    <col min="16" max="16" width="10.125" customWidth="1"/>
    <col min="19" max="19" width="10.375" customWidth="1"/>
    <col min="21" max="22" width="9.125" customWidth="1"/>
  </cols>
  <sheetData>
    <row r="1" spans="1:23" x14ac:dyDescent="0.15">
      <c r="A1" s="307" t="s">
        <v>218</v>
      </c>
    </row>
    <row r="3" spans="1:23" x14ac:dyDescent="0.15">
      <c r="A3" s="307" t="s">
        <v>216</v>
      </c>
    </row>
    <row r="5" spans="1:23" x14ac:dyDescent="0.15">
      <c r="A5" t="s">
        <v>211</v>
      </c>
    </row>
    <row r="6" spans="1:23" x14ac:dyDescent="0.15">
      <c r="A6" t="s">
        <v>210</v>
      </c>
    </row>
    <row r="7" spans="1:23" x14ac:dyDescent="0.15">
      <c r="A7" t="s">
        <v>208</v>
      </c>
    </row>
    <row r="8" spans="1:23" x14ac:dyDescent="0.15">
      <c r="A8" t="s">
        <v>209</v>
      </c>
    </row>
    <row r="10" spans="1:23" x14ac:dyDescent="0.15">
      <c r="D10" t="s">
        <v>212</v>
      </c>
      <c r="E10" t="s">
        <v>213</v>
      </c>
      <c r="F10" t="s">
        <v>215</v>
      </c>
      <c r="K10" t="s">
        <v>212</v>
      </c>
      <c r="L10" t="s">
        <v>213</v>
      </c>
      <c r="M10" t="s">
        <v>217</v>
      </c>
    </row>
    <row r="11" spans="1:23" x14ac:dyDescent="0.15">
      <c r="A11" t="s">
        <v>214</v>
      </c>
      <c r="D11">
        <v>15</v>
      </c>
      <c r="E11">
        <v>60</v>
      </c>
      <c r="F11">
        <f>INDEX(B13:F37,MATCH(D11,A13:A37,0),MATCH(E11,B12:F12,0))</f>
        <v>31.12</v>
      </c>
      <c r="H11" t="s">
        <v>39</v>
      </c>
      <c r="K11">
        <v>15</v>
      </c>
      <c r="L11">
        <v>60</v>
      </c>
      <c r="M11">
        <f>INDEX(I13:M37,MATCH(K11,H13:H37,0),MATCH(L11,I12:M12,0))</f>
        <v>1.212</v>
      </c>
    </row>
    <row r="12" spans="1:23" ht="14.25" thickBot="1" x14ac:dyDescent="0.2">
      <c r="A12" s="244"/>
      <c r="B12" s="245">
        <v>45</v>
      </c>
      <c r="C12" s="245">
        <v>60</v>
      </c>
      <c r="D12" s="245">
        <v>80</v>
      </c>
      <c r="E12" s="245">
        <v>90</v>
      </c>
      <c r="F12" s="245">
        <v>100</v>
      </c>
      <c r="H12" s="244"/>
      <c r="I12" s="245">
        <v>45</v>
      </c>
      <c r="J12" s="245">
        <v>60</v>
      </c>
      <c r="K12" s="245">
        <v>80</v>
      </c>
      <c r="L12" s="245">
        <v>90</v>
      </c>
      <c r="M12" s="245">
        <v>100</v>
      </c>
      <c r="O12" s="384" t="s">
        <v>283</v>
      </c>
      <c r="P12" s="374" t="s">
        <v>527</v>
      </c>
      <c r="Q12" s="374" t="s">
        <v>284</v>
      </c>
      <c r="R12" s="374" t="s">
        <v>285</v>
      </c>
      <c r="S12" s="374" t="s">
        <v>528</v>
      </c>
      <c r="T12" s="374" t="s">
        <v>529</v>
      </c>
      <c r="U12" s="389" t="s">
        <v>525</v>
      </c>
      <c r="V12" s="390" t="s">
        <v>526</v>
      </c>
      <c r="W12" s="386" t="s">
        <v>530</v>
      </c>
    </row>
    <row r="13" spans="1:23" ht="14.25" thickBot="1" x14ac:dyDescent="0.2">
      <c r="A13" s="245">
        <v>-45</v>
      </c>
      <c r="B13" s="245"/>
      <c r="C13" s="245"/>
      <c r="D13" s="245"/>
      <c r="E13" s="245"/>
      <c r="F13" s="245"/>
      <c r="H13" s="245">
        <v>-45</v>
      </c>
      <c r="I13" s="245"/>
      <c r="J13" s="245"/>
      <c r="K13" s="245"/>
      <c r="L13" s="245"/>
      <c r="M13" s="245"/>
      <c r="O13" s="385" t="s">
        <v>287</v>
      </c>
      <c r="P13" s="375" t="s">
        <v>288</v>
      </c>
      <c r="Q13" s="375" t="s">
        <v>289</v>
      </c>
      <c r="R13" s="375" t="s">
        <v>290</v>
      </c>
      <c r="S13" s="375">
        <v>65</v>
      </c>
      <c r="T13" s="375">
        <v>-0.3</v>
      </c>
      <c r="U13" s="375">
        <v>3.0139999999999998</v>
      </c>
      <c r="V13" s="375">
        <v>1.6539999999999999</v>
      </c>
      <c r="W13" s="387">
        <v>216.81</v>
      </c>
    </row>
    <row r="14" spans="1:23" ht="14.25" thickBot="1" x14ac:dyDescent="0.2">
      <c r="A14" s="245">
        <v>-35</v>
      </c>
      <c r="B14" s="245"/>
      <c r="C14" s="245"/>
      <c r="D14" s="245"/>
      <c r="E14" s="245"/>
      <c r="F14" s="245"/>
      <c r="H14" s="245">
        <v>-35</v>
      </c>
      <c r="I14" s="245"/>
      <c r="J14" s="245"/>
      <c r="K14" s="245"/>
      <c r="L14" s="245"/>
      <c r="M14" s="245"/>
      <c r="O14" s="385" t="s">
        <v>298</v>
      </c>
      <c r="P14" s="375" t="s">
        <v>299</v>
      </c>
      <c r="Q14" s="375" t="s">
        <v>300</v>
      </c>
      <c r="R14" s="375" t="s">
        <v>301</v>
      </c>
      <c r="S14" s="375">
        <v>93</v>
      </c>
      <c r="T14" s="375">
        <v>-0.9</v>
      </c>
      <c r="U14" s="375">
        <v>3.952</v>
      </c>
      <c r="V14" s="375">
        <v>2.0049999999999999</v>
      </c>
      <c r="W14" s="387">
        <v>310.2</v>
      </c>
    </row>
    <row r="15" spans="1:23" ht="14.25" thickBot="1" x14ac:dyDescent="0.2">
      <c r="A15" s="245">
        <v>-30</v>
      </c>
      <c r="B15" s="245"/>
      <c r="C15" s="245"/>
      <c r="D15" s="245"/>
      <c r="E15" s="245"/>
      <c r="F15" s="245"/>
      <c r="H15" s="245">
        <v>-30</v>
      </c>
      <c r="I15" s="245"/>
      <c r="J15" s="245"/>
      <c r="K15" s="245"/>
      <c r="L15" s="245"/>
      <c r="M15" s="245"/>
      <c r="O15" s="385" t="s">
        <v>306</v>
      </c>
      <c r="P15" s="375">
        <v>0</v>
      </c>
      <c r="Q15" s="375">
        <v>90</v>
      </c>
      <c r="R15" s="375" t="s">
        <v>307</v>
      </c>
      <c r="S15" s="375">
        <v>85</v>
      </c>
      <c r="T15" s="375">
        <v>-1.1000000000000001</v>
      </c>
      <c r="U15" s="375">
        <v>3.6840000000000002</v>
      </c>
      <c r="V15" s="375">
        <v>1.905</v>
      </c>
      <c r="W15" s="387">
        <v>283.52</v>
      </c>
    </row>
    <row r="16" spans="1:23" ht="14.25" thickBot="1" x14ac:dyDescent="0.2">
      <c r="A16" s="245">
        <v>-25</v>
      </c>
      <c r="B16" s="245"/>
      <c r="C16" s="245">
        <v>-24.55</v>
      </c>
      <c r="D16" s="245">
        <v>-24.36</v>
      </c>
      <c r="E16" s="245"/>
      <c r="F16" s="245">
        <v>-24.17</v>
      </c>
      <c r="H16" s="245">
        <v>-25</v>
      </c>
      <c r="I16" s="245"/>
      <c r="J16" s="245">
        <v>1.4219999999999999</v>
      </c>
      <c r="K16" s="245">
        <v>1.421</v>
      </c>
      <c r="L16" s="245"/>
      <c r="M16" s="245">
        <v>1.421</v>
      </c>
      <c r="O16" s="385" t="s">
        <v>313</v>
      </c>
      <c r="P16" s="375" t="s">
        <v>314</v>
      </c>
      <c r="Q16" s="375" t="s">
        <v>300</v>
      </c>
      <c r="R16" s="375" t="s">
        <v>315</v>
      </c>
      <c r="S16" s="375">
        <v>90</v>
      </c>
      <c r="T16" s="375">
        <v>-0.8</v>
      </c>
      <c r="U16" s="375">
        <v>3.8519999999999999</v>
      </c>
      <c r="V16" s="375">
        <v>1.968</v>
      </c>
      <c r="W16" s="387">
        <v>300.2</v>
      </c>
    </row>
    <row r="17" spans="1:23" ht="14.25" thickBot="1" x14ac:dyDescent="0.2">
      <c r="A17" s="245">
        <v>-20</v>
      </c>
      <c r="B17" s="245"/>
      <c r="C17" s="245">
        <v>-19.16</v>
      </c>
      <c r="D17" s="245"/>
      <c r="E17" s="245"/>
      <c r="F17" s="245"/>
      <c r="H17" s="245">
        <v>-20</v>
      </c>
      <c r="I17" s="245"/>
      <c r="J17" s="292">
        <f>1/0.7177</f>
        <v>1.3933398355858995</v>
      </c>
      <c r="K17" s="245"/>
      <c r="L17" s="245"/>
      <c r="M17" s="245"/>
      <c r="O17" s="385" t="s">
        <v>320</v>
      </c>
      <c r="P17" s="375" t="s">
        <v>321</v>
      </c>
      <c r="Q17" s="375" t="s">
        <v>289</v>
      </c>
      <c r="R17" s="375" t="s">
        <v>322</v>
      </c>
      <c r="S17" s="375">
        <v>87</v>
      </c>
      <c r="T17" s="375">
        <v>-0.8</v>
      </c>
      <c r="U17" s="375">
        <v>3.7149999999999999</v>
      </c>
      <c r="V17" s="375">
        <v>1.93</v>
      </c>
      <c r="W17" s="387">
        <v>290.19</v>
      </c>
    </row>
    <row r="18" spans="1:23" ht="14.25" thickBot="1" x14ac:dyDescent="0.2">
      <c r="A18" s="245">
        <v>-15</v>
      </c>
      <c r="B18" s="245"/>
      <c r="C18" s="245"/>
      <c r="D18" s="245"/>
      <c r="E18" s="245"/>
      <c r="F18" s="245"/>
      <c r="H18" s="245">
        <v>-15</v>
      </c>
      <c r="I18" s="245"/>
      <c r="J18" s="245"/>
      <c r="K18" s="245"/>
      <c r="L18" s="245"/>
      <c r="M18" s="245"/>
      <c r="O18" s="385" t="s">
        <v>324</v>
      </c>
      <c r="P18" s="375">
        <v>-1</v>
      </c>
      <c r="Q18" s="375">
        <v>90</v>
      </c>
      <c r="R18" s="375" t="s">
        <v>325</v>
      </c>
      <c r="S18" s="375">
        <v>78</v>
      </c>
      <c r="T18" s="375">
        <v>-2.2000000000000002</v>
      </c>
      <c r="U18" s="375">
        <v>3.45</v>
      </c>
      <c r="V18" s="375">
        <v>1.8160000000000001</v>
      </c>
      <c r="W18" s="387">
        <v>260.17</v>
      </c>
    </row>
    <row r="19" spans="1:23" ht="14.25" thickBot="1" x14ac:dyDescent="0.2">
      <c r="A19" s="245">
        <v>-10</v>
      </c>
      <c r="B19" s="245"/>
      <c r="C19" s="245"/>
      <c r="D19" s="245"/>
      <c r="E19" s="245"/>
      <c r="F19" s="245"/>
      <c r="H19" s="245">
        <v>-10</v>
      </c>
      <c r="I19" s="245"/>
      <c r="J19" s="245"/>
      <c r="K19" s="245"/>
      <c r="L19" s="245"/>
      <c r="M19" s="245"/>
      <c r="O19" s="385" t="s">
        <v>328</v>
      </c>
      <c r="P19" s="375" t="s">
        <v>329</v>
      </c>
      <c r="Q19" s="375" t="s">
        <v>289</v>
      </c>
      <c r="R19" s="375" t="s">
        <v>330</v>
      </c>
      <c r="S19" s="375">
        <v>89</v>
      </c>
      <c r="T19" s="375">
        <v>-1.1000000000000001</v>
      </c>
      <c r="U19" s="375">
        <v>3.8180000000000001</v>
      </c>
      <c r="V19" s="375">
        <v>1.9550000000000001</v>
      </c>
      <c r="W19" s="387">
        <v>296.86</v>
      </c>
    </row>
    <row r="20" spans="1:23" ht="14.25" thickBot="1" x14ac:dyDescent="0.2">
      <c r="A20" s="245">
        <v>-5</v>
      </c>
      <c r="B20" s="245"/>
      <c r="C20" s="245">
        <v>-1.33</v>
      </c>
      <c r="D20" s="245"/>
      <c r="E20" s="245"/>
      <c r="F20" s="245"/>
      <c r="H20" s="245">
        <v>-5</v>
      </c>
      <c r="I20" s="245"/>
      <c r="J20" s="245">
        <v>1.3129999999999999</v>
      </c>
      <c r="K20" s="245"/>
      <c r="L20" s="245"/>
      <c r="M20" s="245"/>
      <c r="O20" s="382" t="s">
        <v>333</v>
      </c>
      <c r="P20" s="383" t="s">
        <v>334</v>
      </c>
      <c r="Q20" s="383" t="s">
        <v>300</v>
      </c>
      <c r="R20" s="383" t="s">
        <v>335</v>
      </c>
      <c r="S20" s="383">
        <v>84</v>
      </c>
      <c r="T20" s="383">
        <v>-1.7</v>
      </c>
      <c r="U20" s="383">
        <v>3.6509999999999998</v>
      </c>
      <c r="V20" s="383">
        <v>1.8919999999999999</v>
      </c>
      <c r="W20" s="388">
        <v>280.18</v>
      </c>
    </row>
    <row r="21" spans="1:23" ht="14.25" thickBot="1" x14ac:dyDescent="0.2">
      <c r="A21" s="245">
        <v>0</v>
      </c>
      <c r="B21" s="245"/>
      <c r="C21" s="245">
        <v>5.65</v>
      </c>
      <c r="D21" s="245"/>
      <c r="E21" s="245"/>
      <c r="F21" s="245"/>
      <c r="H21" s="245">
        <v>0</v>
      </c>
      <c r="I21" s="245"/>
      <c r="J21" s="245">
        <v>1.2869999999999999</v>
      </c>
      <c r="K21" s="245"/>
      <c r="L21" s="245"/>
      <c r="M21" s="245"/>
      <c r="O21" s="382" t="s">
        <v>333</v>
      </c>
      <c r="P21" s="383">
        <v>-1</v>
      </c>
      <c r="Q21" s="383" t="s">
        <v>300</v>
      </c>
      <c r="R21" s="383" t="s">
        <v>344</v>
      </c>
      <c r="S21" s="383">
        <v>80</v>
      </c>
      <c r="T21" s="383">
        <v>-1.8</v>
      </c>
      <c r="U21" s="383">
        <v>3.5169999999999999</v>
      </c>
      <c r="V21" s="383">
        <v>1.8420000000000001</v>
      </c>
      <c r="W21" s="388">
        <v>266.83999999999997</v>
      </c>
    </row>
    <row r="22" spans="1:23" ht="14.25" thickBot="1" x14ac:dyDescent="0.2">
      <c r="A22" s="245">
        <v>1</v>
      </c>
      <c r="B22" s="245"/>
      <c r="C22" s="245">
        <v>7.09</v>
      </c>
      <c r="D22" s="245"/>
      <c r="E22" s="245"/>
      <c r="F22" s="245"/>
      <c r="H22" s="245">
        <v>1</v>
      </c>
      <c r="I22" s="245"/>
      <c r="J22" s="292">
        <f>1/0.7798</f>
        <v>1.2823800974608874</v>
      </c>
      <c r="K22" s="245"/>
      <c r="L22" s="245"/>
      <c r="M22" s="245"/>
      <c r="O22" s="385" t="s">
        <v>348</v>
      </c>
      <c r="P22" s="375" t="s">
        <v>349</v>
      </c>
      <c r="Q22" s="375" t="s">
        <v>318</v>
      </c>
      <c r="R22" s="375" t="s">
        <v>344</v>
      </c>
      <c r="S22" s="375">
        <v>93</v>
      </c>
      <c r="T22" s="375">
        <v>-0.4</v>
      </c>
      <c r="U22" s="375">
        <v>3.952</v>
      </c>
      <c r="V22" s="375">
        <v>2.0049999999999999</v>
      </c>
      <c r="W22" s="387">
        <v>310.2</v>
      </c>
    </row>
    <row r="23" spans="1:23" ht="14.25" thickBot="1" x14ac:dyDescent="0.2">
      <c r="A23" s="245">
        <v>2</v>
      </c>
      <c r="B23" s="245"/>
      <c r="C23" s="245">
        <v>8.5500000000000007</v>
      </c>
      <c r="D23" s="245"/>
      <c r="E23" s="245"/>
      <c r="F23" s="245"/>
      <c r="H23" s="245">
        <v>2</v>
      </c>
      <c r="I23" s="245"/>
      <c r="J23" s="292">
        <f>1/0.7829</f>
        <v>1.2773023374632775</v>
      </c>
      <c r="K23" s="245"/>
      <c r="L23" s="245"/>
      <c r="M23" s="245"/>
      <c r="O23" s="385" t="s">
        <v>354</v>
      </c>
      <c r="P23" s="375" t="s">
        <v>355</v>
      </c>
      <c r="Q23" s="375" t="s">
        <v>300</v>
      </c>
      <c r="R23" s="375" t="s">
        <v>356</v>
      </c>
      <c r="S23" s="375">
        <v>83</v>
      </c>
      <c r="T23" s="375">
        <v>-1.6</v>
      </c>
      <c r="U23" s="375">
        <v>3.617</v>
      </c>
      <c r="V23" s="375">
        <v>1.88</v>
      </c>
      <c r="W23" s="387">
        <v>276.85000000000002</v>
      </c>
    </row>
    <row r="24" spans="1:23" ht="14.25" thickBot="1" x14ac:dyDescent="0.2">
      <c r="A24" s="245">
        <v>4</v>
      </c>
      <c r="B24" s="245"/>
      <c r="C24" s="245">
        <v>11.57</v>
      </c>
      <c r="D24" s="245"/>
      <c r="E24" s="245"/>
      <c r="F24" s="245"/>
      <c r="H24" s="245">
        <v>4</v>
      </c>
      <c r="I24" s="245"/>
      <c r="J24" s="292">
        <f>1/0.7891</f>
        <v>1.2672665061462425</v>
      </c>
      <c r="K24" s="245"/>
      <c r="L24" s="245"/>
      <c r="M24" s="245"/>
      <c r="O24" s="385" t="s">
        <v>361</v>
      </c>
      <c r="P24" s="375" t="s">
        <v>314</v>
      </c>
      <c r="Q24" s="375">
        <v>90</v>
      </c>
      <c r="R24" s="375" t="s">
        <v>290</v>
      </c>
      <c r="S24" s="375">
        <v>82</v>
      </c>
      <c r="T24" s="375">
        <v>-0.9</v>
      </c>
      <c r="U24" s="375">
        <v>3.5840000000000001</v>
      </c>
      <c r="V24" s="375">
        <v>1.867</v>
      </c>
      <c r="W24" s="387">
        <v>273.51</v>
      </c>
    </row>
    <row r="25" spans="1:23" ht="14.25" thickBot="1" x14ac:dyDescent="0.2">
      <c r="A25" s="245">
        <v>5</v>
      </c>
      <c r="B25" s="245"/>
      <c r="C25" s="245">
        <v>13.13</v>
      </c>
      <c r="D25" s="245"/>
      <c r="E25" s="245"/>
      <c r="F25" s="245"/>
      <c r="H25" s="245">
        <v>5</v>
      </c>
      <c r="I25" s="245"/>
      <c r="J25" s="245">
        <v>1.262</v>
      </c>
      <c r="K25" s="245"/>
      <c r="L25" s="245"/>
      <c r="M25" s="245"/>
      <c r="O25" s="382" t="s">
        <v>362</v>
      </c>
      <c r="P25" s="383">
        <v>7</v>
      </c>
      <c r="Q25" s="383" t="s">
        <v>289</v>
      </c>
      <c r="R25" s="383" t="s">
        <v>290</v>
      </c>
      <c r="S25" s="383">
        <v>85</v>
      </c>
      <c r="T25" s="383">
        <v>-1</v>
      </c>
      <c r="U25" s="383">
        <v>3.6840000000000002</v>
      </c>
      <c r="V25" s="383">
        <v>1.905</v>
      </c>
      <c r="W25" s="388">
        <v>283.52</v>
      </c>
    </row>
    <row r="26" spans="1:23" ht="14.25" thickBot="1" x14ac:dyDescent="0.2">
      <c r="A26" s="245">
        <v>10</v>
      </c>
      <c r="B26" s="245"/>
      <c r="C26" s="245">
        <v>21.53</v>
      </c>
      <c r="D26" s="245">
        <v>25.4</v>
      </c>
      <c r="E26" s="245"/>
      <c r="F26" s="245"/>
      <c r="H26" s="245">
        <v>10</v>
      </c>
      <c r="I26" s="245"/>
      <c r="J26" s="245">
        <v>1.2370000000000001</v>
      </c>
      <c r="K26" s="245">
        <v>1.234</v>
      </c>
      <c r="L26" s="245"/>
      <c r="M26" s="245"/>
      <c r="O26" s="385" t="s">
        <v>370</v>
      </c>
      <c r="P26" s="375" t="s">
        <v>337</v>
      </c>
      <c r="Q26" s="375" t="s">
        <v>371</v>
      </c>
      <c r="R26" s="375" t="s">
        <v>337</v>
      </c>
      <c r="S26" s="375">
        <v>75</v>
      </c>
      <c r="T26" s="375">
        <v>-0.8</v>
      </c>
      <c r="U26" s="375">
        <v>3.3490000000000002</v>
      </c>
      <c r="V26" s="375">
        <v>1.7789999999999999</v>
      </c>
      <c r="W26" s="387">
        <v>250.16</v>
      </c>
    </row>
    <row r="27" spans="1:23" ht="14.25" thickBot="1" x14ac:dyDescent="0.2">
      <c r="A27" s="245">
        <v>14</v>
      </c>
      <c r="B27" s="245"/>
      <c r="C27" s="291">
        <v>29.09</v>
      </c>
      <c r="D27" s="245"/>
      <c r="E27" s="245"/>
      <c r="F27" s="245"/>
      <c r="H27" s="245">
        <v>14</v>
      </c>
      <c r="I27" s="245"/>
      <c r="J27" s="292">
        <f>1/0.8214</f>
        <v>1.2174336498660823</v>
      </c>
      <c r="K27" s="245"/>
      <c r="L27" s="245"/>
      <c r="M27" s="245"/>
      <c r="O27" s="385" t="s">
        <v>374</v>
      </c>
      <c r="P27" s="375">
        <v>7</v>
      </c>
      <c r="Q27" s="375" t="s">
        <v>289</v>
      </c>
      <c r="R27" s="375" t="s">
        <v>310</v>
      </c>
      <c r="S27" s="375">
        <v>91</v>
      </c>
      <c r="T27" s="375">
        <v>-0.8</v>
      </c>
      <c r="U27" s="375">
        <v>3.8849999999999998</v>
      </c>
      <c r="V27" s="375">
        <v>1.98</v>
      </c>
      <c r="W27" s="387">
        <v>303.52999999999997</v>
      </c>
    </row>
    <row r="28" spans="1:23" ht="14.25" thickBot="1" x14ac:dyDescent="0.2">
      <c r="A28" s="245">
        <v>15</v>
      </c>
      <c r="B28" s="245"/>
      <c r="C28" s="245">
        <v>31.12</v>
      </c>
      <c r="D28" s="245">
        <v>36.549999999999997</v>
      </c>
      <c r="E28" s="245">
        <v>39.270000000000003</v>
      </c>
      <c r="F28" s="245">
        <v>42.01</v>
      </c>
      <c r="H28" s="245">
        <v>15</v>
      </c>
      <c r="I28" s="245"/>
      <c r="J28" s="245">
        <v>1.212</v>
      </c>
      <c r="K28" s="245">
        <v>1.208</v>
      </c>
      <c r="L28" s="291">
        <f>1/0.829</f>
        <v>1.2062726176115803</v>
      </c>
      <c r="M28" s="245">
        <v>1.204</v>
      </c>
      <c r="O28" s="382" t="s">
        <v>378</v>
      </c>
      <c r="P28" s="383" t="s">
        <v>334</v>
      </c>
      <c r="Q28" s="383" t="s">
        <v>289</v>
      </c>
      <c r="R28" s="383" t="s">
        <v>379</v>
      </c>
      <c r="S28" s="383">
        <v>82</v>
      </c>
      <c r="T28" s="383">
        <v>-1.6</v>
      </c>
      <c r="U28" s="383">
        <v>3.8540000000000001</v>
      </c>
      <c r="V28" s="383">
        <v>1.867</v>
      </c>
      <c r="W28" s="388">
        <v>273.51</v>
      </c>
    </row>
    <row r="29" spans="1:23" ht="14.25" thickBot="1" x14ac:dyDescent="0.2">
      <c r="A29" s="245">
        <v>16</v>
      </c>
      <c r="B29" s="245"/>
      <c r="C29" s="245">
        <v>33.22</v>
      </c>
      <c r="D29" s="245"/>
      <c r="E29" s="245"/>
      <c r="F29" s="245"/>
      <c r="H29" s="245">
        <v>16</v>
      </c>
      <c r="I29" s="245"/>
      <c r="J29" s="292">
        <f>1/0.8282</f>
        <v>1.2074378169524269</v>
      </c>
      <c r="K29" s="245"/>
      <c r="L29" s="245"/>
      <c r="M29" s="245"/>
      <c r="O29" s="382" t="s">
        <v>378</v>
      </c>
      <c r="P29" s="383">
        <v>-1</v>
      </c>
      <c r="Q29" s="383" t="s">
        <v>300</v>
      </c>
      <c r="R29" s="383" t="s">
        <v>385</v>
      </c>
      <c r="S29" s="383">
        <v>82</v>
      </c>
      <c r="T29" s="383">
        <v>-2.1</v>
      </c>
      <c r="U29" s="383">
        <v>3.5840000000000001</v>
      </c>
      <c r="V29" s="383">
        <v>1.867</v>
      </c>
      <c r="W29" s="388">
        <v>273.51</v>
      </c>
    </row>
    <row r="30" spans="1:23" ht="14.25" thickBot="1" x14ac:dyDescent="0.2">
      <c r="A30" s="245">
        <v>18</v>
      </c>
      <c r="B30" s="245"/>
      <c r="C30" s="245">
        <v>37.6</v>
      </c>
      <c r="D30" s="245"/>
      <c r="E30" s="245"/>
      <c r="F30" s="245"/>
      <c r="H30" s="245">
        <v>18</v>
      </c>
      <c r="I30" s="245"/>
      <c r="J30" s="292">
        <f>1/0.8352</f>
        <v>1.1973180076628351</v>
      </c>
      <c r="K30" s="245"/>
      <c r="L30" s="245"/>
      <c r="M30" s="245"/>
      <c r="O30" s="385" t="s">
        <v>391</v>
      </c>
      <c r="P30" s="375" t="s">
        <v>392</v>
      </c>
      <c r="Q30" s="375" t="s">
        <v>300</v>
      </c>
      <c r="R30" s="375" t="s">
        <v>393</v>
      </c>
      <c r="S30" s="375">
        <v>82</v>
      </c>
      <c r="T30" s="375">
        <v>-1.6</v>
      </c>
      <c r="U30" s="375">
        <v>3.5840000000000001</v>
      </c>
      <c r="V30" s="375">
        <v>1.867</v>
      </c>
      <c r="W30" s="387">
        <v>273.51</v>
      </c>
    </row>
    <row r="31" spans="1:23" ht="14.25" thickBot="1" x14ac:dyDescent="0.2">
      <c r="A31" s="245">
        <v>20</v>
      </c>
      <c r="B31" s="245"/>
      <c r="C31" s="245">
        <v>42.27</v>
      </c>
      <c r="D31" s="245">
        <v>49.81</v>
      </c>
      <c r="E31" s="245"/>
      <c r="F31" s="245">
        <v>57.41</v>
      </c>
      <c r="H31" s="245">
        <v>20</v>
      </c>
      <c r="I31" s="245"/>
      <c r="J31" s="245">
        <v>1.1870000000000001</v>
      </c>
      <c r="K31" s="245">
        <v>1.1819999999999999</v>
      </c>
      <c r="L31" s="245"/>
      <c r="M31" s="245">
        <v>1.1759999999999999</v>
      </c>
      <c r="O31" s="385" t="s">
        <v>394</v>
      </c>
      <c r="P31" s="375" t="s">
        <v>334</v>
      </c>
      <c r="Q31" s="375" t="s">
        <v>300</v>
      </c>
      <c r="R31" s="375" t="s">
        <v>290</v>
      </c>
      <c r="S31" s="375">
        <v>86</v>
      </c>
      <c r="T31" s="375">
        <v>-0.8</v>
      </c>
      <c r="U31" s="375">
        <v>3.718</v>
      </c>
      <c r="V31" s="375">
        <v>1.9179999999999999</v>
      </c>
      <c r="W31" s="387">
        <v>286.85000000000002</v>
      </c>
    </row>
    <row r="32" spans="1:23" ht="14.25" thickBot="1" x14ac:dyDescent="0.2">
      <c r="A32" s="245">
        <v>25</v>
      </c>
      <c r="B32" s="245"/>
      <c r="C32" s="245">
        <v>55.43</v>
      </c>
      <c r="D32" s="245">
        <v>65.8</v>
      </c>
      <c r="E32" s="245"/>
      <c r="F32" s="245">
        <v>76.3</v>
      </c>
      <c r="H32" s="245">
        <v>25</v>
      </c>
      <c r="I32" s="245"/>
      <c r="J32" s="245">
        <v>1.161</v>
      </c>
      <c r="K32" s="245">
        <v>1.1539999999999999</v>
      </c>
      <c r="L32" s="245"/>
      <c r="M32" s="245">
        <v>1.147</v>
      </c>
      <c r="O32" s="385" t="s">
        <v>397</v>
      </c>
      <c r="P32" s="375" t="s">
        <v>299</v>
      </c>
      <c r="Q32" s="375" t="s">
        <v>371</v>
      </c>
      <c r="R32" s="375" t="s">
        <v>330</v>
      </c>
      <c r="S32" s="375">
        <v>93</v>
      </c>
      <c r="T32" s="375">
        <v>-1.1000000000000001</v>
      </c>
      <c r="U32" s="375">
        <v>3.952</v>
      </c>
      <c r="V32" s="375">
        <v>2.0049999999999999</v>
      </c>
      <c r="W32" s="387">
        <v>310.2</v>
      </c>
    </row>
    <row r="33" spans="1:23" ht="14.25" thickBot="1" x14ac:dyDescent="0.2">
      <c r="A33" s="245">
        <v>30</v>
      </c>
      <c r="B33" s="245"/>
      <c r="C33" s="245">
        <v>71.17</v>
      </c>
      <c r="D33" s="245">
        <v>85.32</v>
      </c>
      <c r="E33" s="245">
        <v>92.49</v>
      </c>
      <c r="F33" s="245">
        <v>99.72</v>
      </c>
      <c r="H33" s="245">
        <v>30</v>
      </c>
      <c r="I33" s="245"/>
      <c r="J33" s="245">
        <v>1.135</v>
      </c>
      <c r="K33" s="245">
        <v>1.125</v>
      </c>
      <c r="L33" s="245">
        <v>1.1200000000000001</v>
      </c>
      <c r="M33" s="245">
        <v>1.115</v>
      </c>
      <c r="O33" s="385" t="s">
        <v>398</v>
      </c>
      <c r="P33" s="375">
        <v>13</v>
      </c>
      <c r="Q33" s="375" t="s">
        <v>289</v>
      </c>
      <c r="R33" s="375" t="s">
        <v>344</v>
      </c>
      <c r="S33" s="375">
        <v>81</v>
      </c>
      <c r="T33" s="375">
        <v>-0.9</v>
      </c>
      <c r="U33" s="375">
        <v>3.55</v>
      </c>
      <c r="V33" s="375">
        <v>1.855</v>
      </c>
      <c r="W33" s="387">
        <v>270.18</v>
      </c>
    </row>
    <row r="34" spans="1:23" ht="14.25" thickBot="1" x14ac:dyDescent="0.2">
      <c r="A34" s="245">
        <v>35</v>
      </c>
      <c r="B34" s="245">
        <v>76.099999999999994</v>
      </c>
      <c r="C34" s="245">
        <v>90.21</v>
      </c>
      <c r="D34" s="245">
        <v>109.41</v>
      </c>
      <c r="E34" s="245">
        <v>119.18</v>
      </c>
      <c r="F34" s="245">
        <v>129.06</v>
      </c>
      <c r="H34" s="245">
        <v>35</v>
      </c>
      <c r="I34" s="245">
        <v>1.117</v>
      </c>
      <c r="J34" s="245">
        <v>1.107</v>
      </c>
      <c r="K34" s="245">
        <v>1.0900000000000001</v>
      </c>
      <c r="L34" s="245">
        <v>1.0880000000000001</v>
      </c>
      <c r="M34" s="245">
        <v>1.0820000000000001</v>
      </c>
      <c r="O34" s="385" t="s">
        <v>400</v>
      </c>
      <c r="P34" s="375" t="s">
        <v>314</v>
      </c>
      <c r="Q34" s="375">
        <v>90</v>
      </c>
      <c r="R34" s="375" t="s">
        <v>290</v>
      </c>
      <c r="S34" s="375">
        <v>89</v>
      </c>
      <c r="T34" s="375">
        <v>-0.9</v>
      </c>
      <c r="U34" s="375">
        <v>3.8180000000000001</v>
      </c>
      <c r="V34" s="375">
        <v>1.9550000000000001</v>
      </c>
      <c r="W34" s="387">
        <v>296.86</v>
      </c>
    </row>
    <row r="35" spans="1:23" ht="14.25" thickBot="1" x14ac:dyDescent="0.2">
      <c r="A35" s="245">
        <v>40</v>
      </c>
      <c r="B35" s="245"/>
      <c r="C35" s="245"/>
      <c r="D35" s="245"/>
      <c r="E35" s="245"/>
      <c r="F35" s="245"/>
      <c r="H35" s="245">
        <v>40</v>
      </c>
      <c r="I35" s="245"/>
      <c r="J35" s="245"/>
      <c r="K35" s="245"/>
      <c r="L35" s="245"/>
      <c r="M35" s="245"/>
      <c r="O35" s="385" t="s">
        <v>403</v>
      </c>
      <c r="P35" s="375" t="s">
        <v>404</v>
      </c>
      <c r="Q35" s="375" t="s">
        <v>289</v>
      </c>
      <c r="R35" s="375" t="s">
        <v>342</v>
      </c>
      <c r="S35" s="375">
        <v>86</v>
      </c>
      <c r="T35" s="375">
        <v>-1.6</v>
      </c>
      <c r="U35" s="375">
        <v>3.718</v>
      </c>
      <c r="V35" s="375">
        <v>1.9179999999999999</v>
      </c>
      <c r="W35" s="387">
        <v>286.85000000000002</v>
      </c>
    </row>
    <row r="36" spans="1:23" ht="14.25" thickBot="1" x14ac:dyDescent="0.2">
      <c r="A36" s="245">
        <v>45</v>
      </c>
      <c r="B36" s="245"/>
      <c r="C36" s="245"/>
      <c r="D36" s="245"/>
      <c r="E36" s="245"/>
      <c r="F36" s="245"/>
      <c r="H36" s="245">
        <v>45</v>
      </c>
      <c r="I36" s="245"/>
      <c r="J36" s="245"/>
      <c r="K36" s="245"/>
      <c r="L36" s="245"/>
      <c r="M36" s="245"/>
      <c r="O36" s="382" t="s">
        <v>405</v>
      </c>
      <c r="P36" s="383" t="s">
        <v>314</v>
      </c>
      <c r="Q36" s="383" t="s">
        <v>300</v>
      </c>
      <c r="R36" s="383" t="s">
        <v>406</v>
      </c>
      <c r="S36" s="383">
        <v>81</v>
      </c>
      <c r="T36" s="383">
        <v>-1.1000000000000001</v>
      </c>
      <c r="U36" s="383">
        <v>3.55</v>
      </c>
      <c r="V36" s="383">
        <v>1.855</v>
      </c>
      <c r="W36" s="388">
        <v>270.18</v>
      </c>
    </row>
    <row r="37" spans="1:23" ht="14.25" thickBot="1" x14ac:dyDescent="0.2">
      <c r="A37" s="245">
        <v>50</v>
      </c>
      <c r="B37" s="245"/>
      <c r="C37" s="245"/>
      <c r="D37" s="245"/>
      <c r="E37" s="245"/>
      <c r="F37" s="245"/>
      <c r="H37" s="245">
        <v>50</v>
      </c>
      <c r="I37" s="245"/>
      <c r="J37" s="245"/>
      <c r="K37" s="245"/>
      <c r="L37" s="245"/>
      <c r="M37" s="245"/>
      <c r="O37" s="382" t="s">
        <v>405</v>
      </c>
      <c r="P37" s="383" t="s">
        <v>314</v>
      </c>
      <c r="Q37" s="383" t="s">
        <v>300</v>
      </c>
      <c r="R37" s="383" t="s">
        <v>406</v>
      </c>
      <c r="S37" s="383">
        <v>84</v>
      </c>
      <c r="T37" s="383">
        <v>-0.6</v>
      </c>
      <c r="U37" s="383">
        <v>3.6509999999999998</v>
      </c>
      <c r="V37" s="383">
        <v>1.8919999999999999</v>
      </c>
      <c r="W37" s="388">
        <v>280.18</v>
      </c>
    </row>
    <row r="38" spans="1:23" ht="14.25" thickBot="1" x14ac:dyDescent="0.2">
      <c r="O38" s="385" t="s">
        <v>419</v>
      </c>
      <c r="P38" s="375" t="s">
        <v>420</v>
      </c>
      <c r="Q38" s="375">
        <v>90</v>
      </c>
      <c r="R38" s="375" t="s">
        <v>377</v>
      </c>
      <c r="S38" s="375">
        <v>84</v>
      </c>
      <c r="T38" s="375">
        <v>-1.1000000000000001</v>
      </c>
      <c r="U38" s="375">
        <v>3.6509999999999998</v>
      </c>
      <c r="V38" s="375">
        <v>1.8919999999999999</v>
      </c>
      <c r="W38" s="387">
        <v>280.18</v>
      </c>
    </row>
    <row r="39" spans="1:23" ht="14.25" thickBot="1" x14ac:dyDescent="0.2">
      <c r="O39" s="385" t="s">
        <v>421</v>
      </c>
      <c r="P39" s="375" t="s">
        <v>422</v>
      </c>
      <c r="Q39" s="375" t="s">
        <v>289</v>
      </c>
      <c r="R39" s="375" t="s">
        <v>423</v>
      </c>
      <c r="S39" s="375">
        <v>89</v>
      </c>
      <c r="T39" s="375">
        <v>-1.4</v>
      </c>
      <c r="U39" s="375">
        <v>3.8180000000000001</v>
      </c>
      <c r="V39" s="375">
        <v>1.9550000000000001</v>
      </c>
      <c r="W39" s="387">
        <v>296.86</v>
      </c>
    </row>
    <row r="40" spans="1:23" ht="14.25" thickBot="1" x14ac:dyDescent="0.2">
      <c r="O40" s="385" t="s">
        <v>432</v>
      </c>
      <c r="P40" s="375" t="s">
        <v>317</v>
      </c>
      <c r="Q40" s="375">
        <v>95</v>
      </c>
      <c r="R40" s="375" t="s">
        <v>344</v>
      </c>
      <c r="S40" s="375">
        <v>93</v>
      </c>
      <c r="T40" s="375">
        <v>-0.6</v>
      </c>
      <c r="U40" s="375">
        <v>3.952</v>
      </c>
      <c r="V40" s="375">
        <v>2.0049999999999999</v>
      </c>
      <c r="W40" s="387">
        <v>310.2</v>
      </c>
    </row>
    <row r="41" spans="1:23" ht="14.25" thickBot="1" x14ac:dyDescent="0.2">
      <c r="O41" s="385" t="s">
        <v>436</v>
      </c>
      <c r="P41" s="375" t="s">
        <v>299</v>
      </c>
      <c r="Q41" s="375" t="s">
        <v>300</v>
      </c>
      <c r="R41" s="375" t="s">
        <v>437</v>
      </c>
      <c r="S41" s="375">
        <v>90</v>
      </c>
      <c r="T41" s="375">
        <v>-1.8</v>
      </c>
      <c r="U41" s="375">
        <v>3.8519999999999999</v>
      </c>
      <c r="V41" s="375">
        <v>1.968</v>
      </c>
      <c r="W41" s="387">
        <v>300.2</v>
      </c>
    </row>
    <row r="42" spans="1:23" ht="14.25" thickBot="1" x14ac:dyDescent="0.2">
      <c r="A42" s="307" t="s">
        <v>155</v>
      </c>
      <c r="O42" s="385" t="s">
        <v>440</v>
      </c>
      <c r="P42" s="375" t="s">
        <v>441</v>
      </c>
      <c r="Q42" s="375" t="s">
        <v>442</v>
      </c>
      <c r="R42" s="375" t="s">
        <v>443</v>
      </c>
      <c r="S42" s="375">
        <v>92</v>
      </c>
      <c r="T42" s="375">
        <v>-0.8</v>
      </c>
      <c r="U42" s="375">
        <v>3.8849999999999998</v>
      </c>
      <c r="V42" s="375">
        <v>1.98</v>
      </c>
      <c r="W42" s="387">
        <v>303.52999999999997</v>
      </c>
    </row>
    <row r="43" spans="1:23" ht="14.25" thickBot="1" x14ac:dyDescent="0.2">
      <c r="B43" t="str">
        <f>INDEX( B45:D49,MATCH(D43,A45:A49,0 ),MATCH(E43,B44:D44,0 ))</f>
        <v>断熱パネル 42mm</v>
      </c>
      <c r="D43">
        <v>4.2000000000000003E-2</v>
      </c>
      <c r="E43">
        <v>2.1000000000000001E-2</v>
      </c>
      <c r="I43" t="s">
        <v>221</v>
      </c>
      <c r="K43" t="s">
        <v>222</v>
      </c>
      <c r="O43" s="385" t="s">
        <v>444</v>
      </c>
      <c r="P43" s="375" t="s">
        <v>441</v>
      </c>
      <c r="Q43" s="375" t="s">
        <v>300</v>
      </c>
      <c r="R43" s="375" t="s">
        <v>445</v>
      </c>
      <c r="S43" s="375">
        <v>96</v>
      </c>
      <c r="T43" s="375">
        <v>-0.5</v>
      </c>
      <c r="U43" s="375">
        <v>4.0529999999999999</v>
      </c>
      <c r="V43" s="375">
        <v>2.0430000000000001</v>
      </c>
      <c r="W43" s="387">
        <v>320.20999999999998</v>
      </c>
    </row>
    <row r="44" spans="1:23" ht="14.25" thickBot="1" x14ac:dyDescent="0.2">
      <c r="A44" s="244"/>
      <c r="B44" s="245">
        <v>2.1000000000000001E-2</v>
      </c>
      <c r="C44" s="245">
        <v>2.8000000000000001E-2</v>
      </c>
      <c r="D44" s="245">
        <v>3.4000000000000002E-2</v>
      </c>
      <c r="E44" s="245">
        <v>1.4</v>
      </c>
      <c r="G44" t="s">
        <v>219</v>
      </c>
      <c r="I44" t="s">
        <v>220</v>
      </c>
      <c r="K44" s="308" t="s">
        <v>226</v>
      </c>
      <c r="O44" s="382" t="s">
        <v>447</v>
      </c>
      <c r="P44" s="383">
        <v>0</v>
      </c>
      <c r="Q44" s="383" t="s">
        <v>304</v>
      </c>
      <c r="R44" s="383" t="s">
        <v>448</v>
      </c>
      <c r="S44" s="383">
        <v>92</v>
      </c>
      <c r="T44" s="383">
        <v>-0.9</v>
      </c>
      <c r="U44" s="383">
        <v>3.919</v>
      </c>
      <c r="V44" s="383">
        <v>1.9930000000000001</v>
      </c>
      <c r="W44" s="388">
        <v>306.87</v>
      </c>
    </row>
    <row r="45" spans="1:23" ht="14.25" thickBot="1" x14ac:dyDescent="0.2">
      <c r="A45" s="245">
        <v>4.2000000000000003E-2</v>
      </c>
      <c r="B45" s="246" t="s">
        <v>156</v>
      </c>
      <c r="C45" s="246" t="s">
        <v>157</v>
      </c>
      <c r="D45" s="246" t="s">
        <v>158</v>
      </c>
      <c r="E45" s="246" t="s">
        <v>159</v>
      </c>
      <c r="G45" t="s">
        <v>223</v>
      </c>
      <c r="I45" t="s">
        <v>224</v>
      </c>
      <c r="K45" s="308" t="s">
        <v>225</v>
      </c>
      <c r="O45" s="385" t="s">
        <v>452</v>
      </c>
      <c r="P45" s="375">
        <v>0</v>
      </c>
      <c r="Q45" s="375">
        <v>95</v>
      </c>
      <c r="R45" s="375" t="s">
        <v>310</v>
      </c>
      <c r="S45" s="375">
        <v>74</v>
      </c>
      <c r="T45" s="375">
        <v>-0.6</v>
      </c>
      <c r="U45" s="375">
        <v>3.3159999999999998</v>
      </c>
      <c r="V45" s="375">
        <v>1.7669999999999999</v>
      </c>
      <c r="W45" s="387">
        <v>246.83</v>
      </c>
    </row>
    <row r="46" spans="1:23" ht="14.25" thickBot="1" x14ac:dyDescent="0.2">
      <c r="A46" s="245">
        <v>0.05</v>
      </c>
      <c r="B46" s="246" t="s">
        <v>160</v>
      </c>
      <c r="C46" s="246" t="s">
        <v>161</v>
      </c>
      <c r="D46" s="246" t="s">
        <v>162</v>
      </c>
      <c r="E46" s="246" t="s">
        <v>163</v>
      </c>
      <c r="G46" t="s">
        <v>227</v>
      </c>
      <c r="I46" t="s">
        <v>229</v>
      </c>
      <c r="K46" t="s">
        <v>230</v>
      </c>
      <c r="O46" s="385" t="s">
        <v>453</v>
      </c>
      <c r="P46" s="375" t="s">
        <v>454</v>
      </c>
      <c r="Q46" s="375" t="s">
        <v>289</v>
      </c>
      <c r="R46" s="375" t="s">
        <v>455</v>
      </c>
      <c r="S46" s="375">
        <v>69</v>
      </c>
      <c r="T46" s="375">
        <v>-1.3</v>
      </c>
      <c r="U46" s="375">
        <v>3.1480000000000001</v>
      </c>
      <c r="V46" s="375">
        <v>1.704</v>
      </c>
      <c r="W46" s="387">
        <v>230.15</v>
      </c>
    </row>
    <row r="47" spans="1:23" ht="14.25" thickBot="1" x14ac:dyDescent="0.2">
      <c r="A47" s="245">
        <v>7.4999999999999997E-2</v>
      </c>
      <c r="B47" s="246" t="s">
        <v>183</v>
      </c>
      <c r="C47" s="246" t="s">
        <v>184</v>
      </c>
      <c r="D47" s="246" t="s">
        <v>185</v>
      </c>
      <c r="E47" s="246" t="s">
        <v>186</v>
      </c>
      <c r="G47" t="s">
        <v>228</v>
      </c>
      <c r="O47" s="382" t="s">
        <v>457</v>
      </c>
      <c r="P47" s="383" t="s">
        <v>441</v>
      </c>
      <c r="Q47" s="383">
        <v>90</v>
      </c>
      <c r="R47" s="383" t="s">
        <v>337</v>
      </c>
      <c r="S47" s="383">
        <v>81</v>
      </c>
      <c r="T47" s="383">
        <v>-0.6</v>
      </c>
      <c r="U47" s="383">
        <v>3.55</v>
      </c>
      <c r="V47" s="383">
        <v>1.855</v>
      </c>
      <c r="W47" s="388">
        <v>270.18</v>
      </c>
    </row>
    <row r="48" spans="1:23" ht="14.25" thickBot="1" x14ac:dyDescent="0.2">
      <c r="A48" s="245">
        <v>0.1</v>
      </c>
      <c r="B48" s="246" t="s">
        <v>164</v>
      </c>
      <c r="C48" s="246" t="s">
        <v>165</v>
      </c>
      <c r="D48" s="246" t="s">
        <v>166</v>
      </c>
      <c r="E48" s="246" t="s">
        <v>167</v>
      </c>
      <c r="O48" s="382" t="s">
        <v>457</v>
      </c>
      <c r="P48" s="383" t="s">
        <v>462</v>
      </c>
      <c r="Q48" s="383" t="s">
        <v>300</v>
      </c>
      <c r="R48" s="383" t="s">
        <v>463</v>
      </c>
      <c r="S48" s="383">
        <v>78</v>
      </c>
      <c r="T48" s="383">
        <v>-0.7</v>
      </c>
      <c r="U48" s="383">
        <v>3.45</v>
      </c>
      <c r="V48" s="383">
        <v>1.8169999999999999</v>
      </c>
      <c r="W48" s="388">
        <v>260.17</v>
      </c>
    </row>
    <row r="49" spans="1:23" ht="14.25" thickBot="1" x14ac:dyDescent="0.2">
      <c r="A49" s="245">
        <v>0.125</v>
      </c>
      <c r="B49" s="246" t="s">
        <v>168</v>
      </c>
      <c r="C49" s="246" t="s">
        <v>169</v>
      </c>
      <c r="D49" s="246" t="s">
        <v>170</v>
      </c>
      <c r="E49" s="246" t="s">
        <v>171</v>
      </c>
      <c r="O49" s="385" t="s">
        <v>465</v>
      </c>
      <c r="P49" s="375">
        <v>0</v>
      </c>
      <c r="Q49" s="375">
        <v>95</v>
      </c>
      <c r="R49" s="375" t="s">
        <v>301</v>
      </c>
      <c r="S49" s="375">
        <v>89</v>
      </c>
      <c r="T49" s="375">
        <v>-0.9</v>
      </c>
      <c r="U49" s="375">
        <v>3.8180000000000001</v>
      </c>
      <c r="V49" s="375">
        <v>1.9550000000000001</v>
      </c>
      <c r="W49" s="387">
        <v>296.86</v>
      </c>
    </row>
    <row r="50" spans="1:23" ht="14.25" thickBot="1" x14ac:dyDescent="0.2">
      <c r="A50" s="245">
        <v>0.15</v>
      </c>
      <c r="B50" s="246" t="s">
        <v>172</v>
      </c>
      <c r="C50" s="246" t="s">
        <v>173</v>
      </c>
      <c r="D50" s="246" t="s">
        <v>174</v>
      </c>
      <c r="E50" s="246" t="s">
        <v>175</v>
      </c>
      <c r="O50" s="382" t="s">
        <v>471</v>
      </c>
      <c r="P50" s="383" t="s">
        <v>472</v>
      </c>
      <c r="Q50" s="383" t="s">
        <v>289</v>
      </c>
      <c r="R50" s="383" t="s">
        <v>310</v>
      </c>
      <c r="S50" s="383">
        <v>93</v>
      </c>
      <c r="T50" s="383">
        <v>-0.6</v>
      </c>
      <c r="U50" s="383">
        <v>3.952</v>
      </c>
      <c r="V50" s="383">
        <v>2.0049999999999999</v>
      </c>
      <c r="W50" s="388">
        <v>310.2</v>
      </c>
    </row>
    <row r="51" spans="1:23" ht="14.25" thickBot="1" x14ac:dyDescent="0.2">
      <c r="A51" s="251">
        <v>0.185</v>
      </c>
      <c r="B51" s="246" t="s">
        <v>187</v>
      </c>
      <c r="C51" s="246" t="s">
        <v>188</v>
      </c>
      <c r="D51" s="246" t="s">
        <v>189</v>
      </c>
      <c r="E51" s="246" t="s">
        <v>190</v>
      </c>
      <c r="O51" s="382" t="s">
        <v>471</v>
      </c>
      <c r="P51" s="383" t="s">
        <v>299</v>
      </c>
      <c r="Q51" s="383" t="s">
        <v>289</v>
      </c>
      <c r="R51" s="383" t="s">
        <v>478</v>
      </c>
      <c r="S51" s="383">
        <v>94</v>
      </c>
      <c r="T51" s="383">
        <v>-0.5</v>
      </c>
      <c r="U51" s="383">
        <v>3.9860000000000002</v>
      </c>
      <c r="V51" s="383">
        <v>2.0179999999999998</v>
      </c>
      <c r="W51" s="388">
        <v>313.54000000000002</v>
      </c>
    </row>
    <row r="52" spans="1:23" ht="14.25" thickBot="1" x14ac:dyDescent="0.2">
      <c r="A52" s="245">
        <v>0.2</v>
      </c>
      <c r="B52" s="246" t="s">
        <v>176</v>
      </c>
      <c r="C52" s="246" t="s">
        <v>177</v>
      </c>
      <c r="D52" s="246" t="s">
        <v>178</v>
      </c>
      <c r="E52" s="246" t="s">
        <v>179</v>
      </c>
      <c r="O52" s="385" t="s">
        <v>481</v>
      </c>
      <c r="P52" s="375" t="s">
        <v>299</v>
      </c>
      <c r="Q52" s="375" t="s">
        <v>300</v>
      </c>
      <c r="R52" s="375" t="s">
        <v>437</v>
      </c>
      <c r="S52" s="375">
        <v>93</v>
      </c>
      <c r="T52" s="375">
        <v>-0.8</v>
      </c>
      <c r="U52" s="375">
        <v>3.952</v>
      </c>
      <c r="V52" s="375">
        <v>2.0049999999999999</v>
      </c>
      <c r="W52" s="387">
        <v>310.2</v>
      </c>
    </row>
    <row r="53" spans="1:23" ht="14.25" thickBot="1" x14ac:dyDescent="0.2">
      <c r="O53" s="385" t="s">
        <v>485</v>
      </c>
      <c r="P53" s="375">
        <v>0</v>
      </c>
      <c r="Q53" s="375" t="s">
        <v>486</v>
      </c>
      <c r="R53" s="375" t="s">
        <v>487</v>
      </c>
      <c r="S53" s="375">
        <v>85</v>
      </c>
      <c r="T53" s="375">
        <v>-0.7</v>
      </c>
      <c r="U53" s="375">
        <v>3.6840000000000002</v>
      </c>
      <c r="V53" s="375">
        <v>1.905</v>
      </c>
      <c r="W53" s="387">
        <v>283.52</v>
      </c>
    </row>
    <row r="54" spans="1:23" ht="14.25" thickBot="1" x14ac:dyDescent="0.2">
      <c r="O54" s="382" t="s">
        <v>490</v>
      </c>
      <c r="P54" s="383">
        <v>0</v>
      </c>
      <c r="Q54" s="383" t="s">
        <v>486</v>
      </c>
      <c r="R54" s="383" t="s">
        <v>330</v>
      </c>
      <c r="S54" s="383">
        <v>88</v>
      </c>
      <c r="T54" s="383">
        <v>-14</v>
      </c>
      <c r="U54" s="383">
        <v>3.7850000000000001</v>
      </c>
      <c r="V54" s="383">
        <v>1.9430000000000001</v>
      </c>
      <c r="W54" s="388">
        <v>293.52</v>
      </c>
    </row>
    <row r="55" spans="1:23" ht="14.25" thickBot="1" x14ac:dyDescent="0.2">
      <c r="O55" s="382" t="s">
        <v>490</v>
      </c>
      <c r="P55" s="383">
        <v>0</v>
      </c>
      <c r="Q55" s="383">
        <v>95</v>
      </c>
      <c r="R55" s="383" t="s">
        <v>497</v>
      </c>
      <c r="S55" s="383">
        <v>88</v>
      </c>
      <c r="T55" s="383">
        <v>-1.4</v>
      </c>
      <c r="U55" s="383">
        <v>3.7850000000000001</v>
      </c>
      <c r="V55" s="383">
        <v>1.9430000000000001</v>
      </c>
      <c r="W55" s="388">
        <v>293.52</v>
      </c>
    </row>
    <row r="56" spans="1:23" ht="14.25" thickBot="1" x14ac:dyDescent="0.2">
      <c r="O56" s="385" t="s">
        <v>502</v>
      </c>
      <c r="P56" s="375">
        <v>0</v>
      </c>
      <c r="Q56" s="375">
        <v>95</v>
      </c>
      <c r="R56" s="375" t="s">
        <v>503</v>
      </c>
      <c r="S56" s="375">
        <v>85</v>
      </c>
      <c r="T56" s="375">
        <v>-1.1000000000000001</v>
      </c>
      <c r="U56" s="375">
        <v>3.6840000000000002</v>
      </c>
      <c r="V56" s="375">
        <v>1.905</v>
      </c>
      <c r="W56" s="387">
        <v>293.52</v>
      </c>
    </row>
    <row r="57" spans="1:23" ht="14.25" thickBot="1" x14ac:dyDescent="0.2">
      <c r="O57" s="385" t="s">
        <v>505</v>
      </c>
      <c r="P57" s="375">
        <v>0</v>
      </c>
      <c r="Q57" s="375">
        <v>95</v>
      </c>
      <c r="R57" s="375" t="s">
        <v>445</v>
      </c>
      <c r="S57" s="375">
        <v>90</v>
      </c>
      <c r="T57" s="375">
        <v>-0.6</v>
      </c>
      <c r="U57" s="375">
        <v>3.8519999999999999</v>
      </c>
      <c r="V57" s="375">
        <v>1.968</v>
      </c>
      <c r="W57" s="387">
        <v>300.2</v>
      </c>
    </row>
    <row r="58" spans="1:23" ht="14.25" thickBot="1" x14ac:dyDescent="0.2">
      <c r="O58" s="385" t="s">
        <v>507</v>
      </c>
      <c r="P58" s="375">
        <v>0</v>
      </c>
      <c r="Q58" s="375">
        <v>95</v>
      </c>
      <c r="R58" s="375" t="s">
        <v>445</v>
      </c>
      <c r="S58" s="375">
        <v>93</v>
      </c>
      <c r="T58" s="375">
        <v>-0.3</v>
      </c>
      <c r="U58" s="375">
        <v>3.952</v>
      </c>
      <c r="V58" s="375">
        <v>2.0049999999999999</v>
      </c>
      <c r="W58" s="387">
        <v>310.2</v>
      </c>
    </row>
    <row r="59" spans="1:23" ht="14.25" thickBot="1" x14ac:dyDescent="0.2">
      <c r="O59" s="385" t="s">
        <v>508</v>
      </c>
      <c r="P59" s="375">
        <v>0</v>
      </c>
      <c r="Q59" s="375">
        <v>90</v>
      </c>
      <c r="R59" s="375" t="s">
        <v>509</v>
      </c>
      <c r="S59" s="375">
        <v>91</v>
      </c>
      <c r="T59" s="375">
        <v>-0.9</v>
      </c>
      <c r="U59" s="375">
        <v>3.8849999999999998</v>
      </c>
      <c r="V59" s="375">
        <v>1.98</v>
      </c>
      <c r="W59" s="387">
        <v>303.52999999999997</v>
      </c>
    </row>
    <row r="60" spans="1:23" ht="14.25" thickBot="1" x14ac:dyDescent="0.2">
      <c r="O60" s="385" t="s">
        <v>514</v>
      </c>
      <c r="P60" s="375">
        <v>0</v>
      </c>
      <c r="Q60" s="375">
        <v>95</v>
      </c>
      <c r="R60" s="375" t="s">
        <v>515</v>
      </c>
      <c r="S60" s="375">
        <v>85</v>
      </c>
      <c r="T60" s="375">
        <v>-0.8</v>
      </c>
      <c r="U60" s="375">
        <v>3.6840000000000002</v>
      </c>
      <c r="V60" s="375">
        <v>1.905</v>
      </c>
      <c r="W60" s="387">
        <v>283.52</v>
      </c>
    </row>
    <row r="61" spans="1:23" ht="14.25" thickBot="1" x14ac:dyDescent="0.2">
      <c r="O61" s="385" t="s">
        <v>517</v>
      </c>
      <c r="P61" s="375" t="s">
        <v>309</v>
      </c>
      <c r="Q61" s="375" t="s">
        <v>304</v>
      </c>
      <c r="R61" s="375" t="s">
        <v>344</v>
      </c>
      <c r="S61" s="375">
        <v>95</v>
      </c>
      <c r="T61" s="375">
        <v>-0.2</v>
      </c>
      <c r="U61" s="375">
        <v>4.0190000000000001</v>
      </c>
      <c r="V61" s="375">
        <v>2.0310000000000001</v>
      </c>
      <c r="W61" s="387">
        <v>316.87</v>
      </c>
    </row>
    <row r="62" spans="1:23" ht="24.75" thickBot="1" x14ac:dyDescent="0.2">
      <c r="O62" s="382" t="s">
        <v>286</v>
      </c>
      <c r="P62" s="383" t="s">
        <v>291</v>
      </c>
      <c r="Q62" s="383" t="s">
        <v>292</v>
      </c>
      <c r="R62" s="383" t="s">
        <v>293</v>
      </c>
      <c r="S62" s="383" t="s">
        <v>294</v>
      </c>
      <c r="T62" s="383">
        <v>-22</v>
      </c>
      <c r="U62" s="383" t="s">
        <v>295</v>
      </c>
      <c r="V62" s="383" t="s">
        <v>296</v>
      </c>
      <c r="W62" s="388" t="s">
        <v>297</v>
      </c>
    </row>
    <row r="63" spans="1:23" ht="14.25" thickBot="1" x14ac:dyDescent="0.2">
      <c r="O63" s="382" t="s">
        <v>308</v>
      </c>
      <c r="P63" s="383" t="s">
        <v>309</v>
      </c>
      <c r="Q63" s="383" t="s">
        <v>289</v>
      </c>
      <c r="R63" s="383" t="s">
        <v>310</v>
      </c>
      <c r="S63" s="383">
        <v>49</v>
      </c>
      <c r="T63" s="383">
        <v>-1.7</v>
      </c>
      <c r="U63" s="383">
        <v>2.4780000000000002</v>
      </c>
      <c r="V63" s="383">
        <v>1.4530000000000001</v>
      </c>
      <c r="W63" s="388">
        <v>163.44</v>
      </c>
    </row>
    <row r="64" spans="1:23" ht="14.25" thickBot="1" x14ac:dyDescent="0.2">
      <c r="O64" s="382" t="s">
        <v>323</v>
      </c>
      <c r="P64" s="383" t="s">
        <v>309</v>
      </c>
      <c r="Q64" s="383">
        <v>85</v>
      </c>
      <c r="R64" s="383" t="s">
        <v>310</v>
      </c>
      <c r="S64" s="383">
        <v>45</v>
      </c>
      <c r="T64" s="383">
        <v>-1.7</v>
      </c>
      <c r="U64" s="383">
        <v>2.3450000000000002</v>
      </c>
      <c r="V64" s="383">
        <v>1.403</v>
      </c>
      <c r="W64" s="388">
        <v>150.1</v>
      </c>
    </row>
    <row r="65" spans="15:23" ht="14.25" thickBot="1" x14ac:dyDescent="0.2">
      <c r="O65" s="385" t="s">
        <v>331</v>
      </c>
      <c r="P65" s="375" t="s">
        <v>309</v>
      </c>
      <c r="Q65" s="375">
        <v>85</v>
      </c>
      <c r="R65" s="375" t="s">
        <v>310</v>
      </c>
      <c r="S65" s="375">
        <v>56</v>
      </c>
      <c r="T65" s="375">
        <v>-2.2000000000000002</v>
      </c>
      <c r="U65" s="375">
        <v>2.7130000000000001</v>
      </c>
      <c r="V65" s="375">
        <v>1.5409999999999999</v>
      </c>
      <c r="W65" s="387">
        <v>186.79</v>
      </c>
    </row>
    <row r="66" spans="15:23" ht="14.25" thickBot="1" x14ac:dyDescent="0.2">
      <c r="O66" s="385" t="s">
        <v>336</v>
      </c>
      <c r="P66" s="375" t="s">
        <v>309</v>
      </c>
      <c r="Q66" s="375">
        <v>85</v>
      </c>
      <c r="R66" s="375" t="s">
        <v>310</v>
      </c>
      <c r="S66" s="375">
        <v>67</v>
      </c>
      <c r="T66" s="375" t="s">
        <v>337</v>
      </c>
      <c r="U66" s="375">
        <v>3.0179999999999998</v>
      </c>
      <c r="V66" s="375">
        <v>1.679</v>
      </c>
      <c r="W66" s="387">
        <v>223.48</v>
      </c>
    </row>
    <row r="67" spans="15:23" ht="14.25" thickBot="1" x14ac:dyDescent="0.2">
      <c r="O67" s="382" t="s">
        <v>340</v>
      </c>
      <c r="P67" s="383" t="s">
        <v>341</v>
      </c>
      <c r="Q67" s="383">
        <v>15</v>
      </c>
      <c r="R67" s="383" t="s">
        <v>342</v>
      </c>
      <c r="S67" s="383">
        <v>48</v>
      </c>
      <c r="T67" s="383" t="s">
        <v>337</v>
      </c>
      <c r="U67" s="383">
        <v>2.4449999999999998</v>
      </c>
      <c r="V67" s="383">
        <v>1.44</v>
      </c>
      <c r="W67" s="388">
        <v>160.01</v>
      </c>
    </row>
    <row r="68" spans="15:23" ht="14.25" thickBot="1" x14ac:dyDescent="0.2">
      <c r="O68" s="385" t="s">
        <v>345</v>
      </c>
      <c r="P68" s="375" t="s">
        <v>309</v>
      </c>
      <c r="Q68" s="375">
        <v>90</v>
      </c>
      <c r="R68" s="375" t="s">
        <v>346</v>
      </c>
      <c r="S68" s="375">
        <v>70</v>
      </c>
      <c r="T68" s="375">
        <v>-1.7</v>
      </c>
      <c r="U68" s="375">
        <v>3.1819999999999999</v>
      </c>
      <c r="V68" s="375">
        <v>1.7170000000000001</v>
      </c>
      <c r="W68" s="387">
        <v>233.48</v>
      </c>
    </row>
    <row r="69" spans="15:23" ht="14.25" thickBot="1" x14ac:dyDescent="0.2">
      <c r="O69" s="382" t="s">
        <v>350</v>
      </c>
      <c r="P69" s="383" t="s">
        <v>309</v>
      </c>
      <c r="Q69" s="383">
        <v>90</v>
      </c>
      <c r="R69" s="383" t="s">
        <v>351</v>
      </c>
      <c r="S69" s="383">
        <v>66</v>
      </c>
      <c r="T69" s="383" t="s">
        <v>337</v>
      </c>
      <c r="U69" s="383">
        <v>3.048</v>
      </c>
      <c r="V69" s="383">
        <v>1.6659999999999999</v>
      </c>
      <c r="W69" s="388">
        <v>220.14</v>
      </c>
    </row>
    <row r="70" spans="15:23" ht="24.75" thickBot="1" x14ac:dyDescent="0.2">
      <c r="O70" s="382" t="s">
        <v>363</v>
      </c>
      <c r="P70" s="383" t="s">
        <v>309</v>
      </c>
      <c r="Q70" s="383" t="s">
        <v>289</v>
      </c>
      <c r="R70" s="383" t="s">
        <v>335</v>
      </c>
      <c r="S70" s="383" t="s">
        <v>365</v>
      </c>
      <c r="T70" s="383" t="s">
        <v>366</v>
      </c>
      <c r="U70" s="383" t="s">
        <v>367</v>
      </c>
      <c r="V70" s="383" t="s">
        <v>368</v>
      </c>
      <c r="W70" s="388" t="s">
        <v>369</v>
      </c>
    </row>
    <row r="71" spans="15:23" ht="14.25" thickBot="1" x14ac:dyDescent="0.2">
      <c r="O71" s="382" t="s">
        <v>375</v>
      </c>
      <c r="P71" s="383" t="s">
        <v>309</v>
      </c>
      <c r="Q71" s="383" t="s">
        <v>289</v>
      </c>
      <c r="R71" s="383" t="s">
        <v>376</v>
      </c>
      <c r="S71" s="383">
        <v>37</v>
      </c>
      <c r="T71" s="383" t="s">
        <v>337</v>
      </c>
      <c r="U71" s="383">
        <v>2.077</v>
      </c>
      <c r="V71" s="383">
        <v>1.302</v>
      </c>
      <c r="W71" s="388">
        <v>123.41</v>
      </c>
    </row>
    <row r="72" spans="15:23" ht="14.25" thickBot="1" x14ac:dyDescent="0.2">
      <c r="O72" s="382" t="s">
        <v>380</v>
      </c>
      <c r="P72" s="383" t="s">
        <v>309</v>
      </c>
      <c r="Q72" s="383">
        <v>85</v>
      </c>
      <c r="R72" s="383" t="s">
        <v>376</v>
      </c>
      <c r="S72" s="383">
        <v>30</v>
      </c>
      <c r="T72" s="383" t="s">
        <v>337</v>
      </c>
      <c r="U72" s="383">
        <v>1.8420000000000001</v>
      </c>
      <c r="V72" s="383">
        <v>1.214</v>
      </c>
      <c r="W72" s="388">
        <v>100.06</v>
      </c>
    </row>
    <row r="73" spans="15:23" ht="14.25" thickBot="1" x14ac:dyDescent="0.2">
      <c r="O73" s="382" t="s">
        <v>387</v>
      </c>
      <c r="P73" s="383" t="s">
        <v>309</v>
      </c>
      <c r="Q73" s="383">
        <v>85</v>
      </c>
      <c r="R73" s="383" t="s">
        <v>335</v>
      </c>
      <c r="S73" s="383">
        <v>8</v>
      </c>
      <c r="T73" s="383" t="s">
        <v>337</v>
      </c>
      <c r="U73" s="383">
        <v>1.105</v>
      </c>
      <c r="V73" s="383">
        <v>0.93799999999999994</v>
      </c>
      <c r="W73" s="388" t="s">
        <v>337</v>
      </c>
    </row>
    <row r="74" spans="15:23" ht="14.25" thickBot="1" x14ac:dyDescent="0.2">
      <c r="O74" s="382" t="s">
        <v>395</v>
      </c>
      <c r="P74" s="383" t="s">
        <v>309</v>
      </c>
      <c r="Q74" s="383">
        <v>85</v>
      </c>
      <c r="R74" s="383" t="s">
        <v>376</v>
      </c>
      <c r="S74" s="383">
        <v>49</v>
      </c>
      <c r="T74" s="383">
        <v>-2.2000000000000002</v>
      </c>
      <c r="U74" s="383">
        <v>2.4780000000000002</v>
      </c>
      <c r="V74" s="383">
        <v>1.4530000000000001</v>
      </c>
      <c r="W74" s="388">
        <v>163.44</v>
      </c>
    </row>
    <row r="75" spans="15:23" ht="14.25" thickBot="1" x14ac:dyDescent="0.2">
      <c r="O75" s="382" t="s">
        <v>401</v>
      </c>
      <c r="P75" s="383" t="s">
        <v>309</v>
      </c>
      <c r="Q75" s="383" t="s">
        <v>402</v>
      </c>
      <c r="R75" s="383" t="s">
        <v>376</v>
      </c>
      <c r="S75" s="383">
        <v>56</v>
      </c>
      <c r="T75" s="383">
        <v>-1.7</v>
      </c>
      <c r="U75" s="383">
        <v>2.7130000000000001</v>
      </c>
      <c r="V75" s="383">
        <v>1.5409999999999999</v>
      </c>
      <c r="W75" s="388">
        <v>186.79</v>
      </c>
    </row>
    <row r="76" spans="15:23" ht="14.25" thickBot="1" x14ac:dyDescent="0.2">
      <c r="O76" s="385" t="s">
        <v>407</v>
      </c>
      <c r="P76" s="375" t="s">
        <v>408</v>
      </c>
      <c r="Q76" s="375" t="s">
        <v>389</v>
      </c>
      <c r="R76" s="375" t="s">
        <v>409</v>
      </c>
      <c r="S76" s="375">
        <v>57</v>
      </c>
      <c r="T76" s="375" t="s">
        <v>337</v>
      </c>
      <c r="U76" s="375">
        <v>2.746</v>
      </c>
      <c r="V76" s="375">
        <v>1.5529999999999999</v>
      </c>
      <c r="W76" s="387">
        <v>190.12</v>
      </c>
    </row>
    <row r="77" spans="15:23" ht="14.25" thickBot="1" x14ac:dyDescent="0.2">
      <c r="O77" s="385" t="s">
        <v>410</v>
      </c>
      <c r="P77" s="375" t="s">
        <v>341</v>
      </c>
      <c r="Q77" s="375" t="s">
        <v>300</v>
      </c>
      <c r="R77" s="375" t="s">
        <v>411</v>
      </c>
      <c r="S77" s="375">
        <v>42</v>
      </c>
      <c r="T77" s="375" t="s">
        <v>337</v>
      </c>
      <c r="U77" s="375">
        <v>2.2440000000000002</v>
      </c>
      <c r="V77" s="375">
        <v>1.365</v>
      </c>
      <c r="W77" s="387">
        <v>140.09</v>
      </c>
    </row>
    <row r="78" spans="15:23" ht="14.25" thickBot="1" x14ac:dyDescent="0.2">
      <c r="O78" s="382" t="s">
        <v>380</v>
      </c>
      <c r="P78" s="383" t="s">
        <v>408</v>
      </c>
      <c r="Q78" s="383" t="s">
        <v>389</v>
      </c>
      <c r="R78" s="383" t="s">
        <v>344</v>
      </c>
      <c r="S78" s="383">
        <v>19</v>
      </c>
      <c r="T78" s="383" t="s">
        <v>337</v>
      </c>
      <c r="U78" s="383">
        <v>1.474</v>
      </c>
      <c r="V78" s="383">
        <v>1.0760000000000001</v>
      </c>
      <c r="W78" s="388" t="s">
        <v>415</v>
      </c>
    </row>
    <row r="79" spans="15:23" ht="14.25" thickBot="1" x14ac:dyDescent="0.2">
      <c r="O79" s="382" t="s">
        <v>424</v>
      </c>
      <c r="P79" s="383" t="s">
        <v>425</v>
      </c>
      <c r="Q79" s="383">
        <v>85</v>
      </c>
      <c r="R79" s="383" t="s">
        <v>399</v>
      </c>
      <c r="S79" s="383" t="s">
        <v>426</v>
      </c>
      <c r="T79" s="383" t="s">
        <v>337</v>
      </c>
      <c r="U79" s="383" t="s">
        <v>427</v>
      </c>
      <c r="V79" s="383" t="s">
        <v>428</v>
      </c>
      <c r="W79" s="388">
        <v>66.709999999999994</v>
      </c>
    </row>
    <row r="80" spans="15:23" ht="14.25" thickBot="1" x14ac:dyDescent="0.2">
      <c r="O80" s="382" t="s">
        <v>446</v>
      </c>
      <c r="P80" s="383" t="s">
        <v>309</v>
      </c>
      <c r="Q80" s="383">
        <v>85</v>
      </c>
      <c r="R80" s="383" t="s">
        <v>351</v>
      </c>
      <c r="S80" s="383">
        <v>38</v>
      </c>
      <c r="T80" s="383" t="s">
        <v>337</v>
      </c>
      <c r="U80" s="383">
        <v>2.11</v>
      </c>
      <c r="V80" s="383">
        <v>1.3149999999999999</v>
      </c>
      <c r="W80" s="388">
        <v>126.75</v>
      </c>
    </row>
    <row r="81" spans="15:23" ht="14.25" thickBot="1" x14ac:dyDescent="0.2">
      <c r="O81" s="382" t="s">
        <v>451</v>
      </c>
      <c r="P81" s="383">
        <v>0</v>
      </c>
      <c r="Q81" s="383">
        <v>85</v>
      </c>
      <c r="R81" s="383" t="s">
        <v>310</v>
      </c>
      <c r="S81" s="383">
        <v>50</v>
      </c>
      <c r="T81" s="383">
        <v>-3.9</v>
      </c>
      <c r="U81" s="383">
        <v>2.512</v>
      </c>
      <c r="V81" s="383">
        <v>1.4650000000000001</v>
      </c>
      <c r="W81" s="388">
        <v>166.78</v>
      </c>
    </row>
    <row r="82" spans="15:23" ht="14.25" thickBot="1" x14ac:dyDescent="0.2">
      <c r="O82" s="382" t="s">
        <v>456</v>
      </c>
      <c r="P82" s="383">
        <v>0</v>
      </c>
      <c r="Q82" s="383">
        <v>85</v>
      </c>
      <c r="R82" s="383" t="s">
        <v>310</v>
      </c>
      <c r="S82" s="383">
        <v>56</v>
      </c>
      <c r="T82" s="383">
        <v>-1.7</v>
      </c>
      <c r="U82" s="383">
        <v>2.7130000000000001</v>
      </c>
      <c r="V82" s="383">
        <v>1.5409999999999999</v>
      </c>
      <c r="W82" s="388">
        <v>186.79</v>
      </c>
    </row>
    <row r="83" spans="15:23" ht="14.25" thickBot="1" x14ac:dyDescent="0.2">
      <c r="O83" s="382" t="s">
        <v>458</v>
      </c>
      <c r="P83" s="383">
        <v>0</v>
      </c>
      <c r="Q83" s="383">
        <v>85</v>
      </c>
      <c r="R83" s="383" t="s">
        <v>310</v>
      </c>
      <c r="S83" s="383">
        <v>54</v>
      </c>
      <c r="T83" s="383" t="s">
        <v>459</v>
      </c>
      <c r="U83" s="383">
        <v>2.6459999999999999</v>
      </c>
      <c r="V83" s="383">
        <v>1.516</v>
      </c>
      <c r="W83" s="388">
        <v>180.12</v>
      </c>
    </row>
    <row r="84" spans="15:23" ht="24.75" thickBot="1" x14ac:dyDescent="0.2">
      <c r="O84" s="382" t="s">
        <v>464</v>
      </c>
      <c r="P84" s="383" t="s">
        <v>309</v>
      </c>
      <c r="Q84" s="383" t="s">
        <v>289</v>
      </c>
      <c r="R84" s="383" t="s">
        <v>466</v>
      </c>
      <c r="S84" s="383" t="s">
        <v>467</v>
      </c>
      <c r="T84" s="383"/>
      <c r="U84" s="383" t="s">
        <v>468</v>
      </c>
      <c r="V84" s="383" t="s">
        <v>469</v>
      </c>
      <c r="W84" s="388" t="s">
        <v>470</v>
      </c>
    </row>
    <row r="85" spans="15:23" ht="14.25" thickBot="1" x14ac:dyDescent="0.2">
      <c r="O85" s="382" t="s">
        <v>476</v>
      </c>
      <c r="P85" s="383">
        <v>0</v>
      </c>
      <c r="Q85" s="383">
        <v>85</v>
      </c>
      <c r="R85" s="383" t="s">
        <v>466</v>
      </c>
      <c r="S85" s="383">
        <v>61</v>
      </c>
      <c r="T85" s="383">
        <v>-1.9</v>
      </c>
      <c r="U85" s="383">
        <v>2.88</v>
      </c>
      <c r="V85" s="383">
        <v>1.6040000000000001</v>
      </c>
      <c r="W85" s="388">
        <v>203.47</v>
      </c>
    </row>
    <row r="86" spans="15:23" ht="14.25" thickBot="1" x14ac:dyDescent="0.2">
      <c r="O86" s="382" t="s">
        <v>480</v>
      </c>
      <c r="P86" s="383">
        <v>0</v>
      </c>
      <c r="Q86" s="383">
        <v>85</v>
      </c>
      <c r="R86" s="383" t="s">
        <v>466</v>
      </c>
      <c r="S86" s="383">
        <v>65</v>
      </c>
      <c r="T86" s="383" t="s">
        <v>337</v>
      </c>
      <c r="U86" s="383">
        <v>3.0139999999999998</v>
      </c>
      <c r="V86" s="383">
        <v>1.6539999999999999</v>
      </c>
      <c r="W86" s="388">
        <v>216.81</v>
      </c>
    </row>
    <row r="87" spans="15:23" ht="14.25" thickBot="1" x14ac:dyDescent="0.2">
      <c r="O87" s="382" t="s">
        <v>491</v>
      </c>
      <c r="P87" s="383">
        <v>0</v>
      </c>
      <c r="Q87" s="383" t="s">
        <v>289</v>
      </c>
      <c r="R87" s="383" t="s">
        <v>494</v>
      </c>
      <c r="S87" s="383">
        <v>74</v>
      </c>
      <c r="T87" s="383">
        <v>-2.8</v>
      </c>
      <c r="U87" s="383">
        <v>3.3159999999999998</v>
      </c>
      <c r="V87" s="383">
        <v>1.7669999999999999</v>
      </c>
      <c r="W87" s="388">
        <v>246.83</v>
      </c>
    </row>
    <row r="88" spans="15:23" ht="14.25" thickBot="1" x14ac:dyDescent="0.2">
      <c r="O88" s="385" t="s">
        <v>498</v>
      </c>
      <c r="P88" s="375">
        <v>0</v>
      </c>
      <c r="Q88" s="375">
        <v>85</v>
      </c>
      <c r="R88" s="375" t="s">
        <v>494</v>
      </c>
      <c r="S88" s="375">
        <v>74</v>
      </c>
      <c r="T88" s="375">
        <v>-2.8</v>
      </c>
      <c r="U88" s="375">
        <v>3.3159999999999998</v>
      </c>
      <c r="V88" s="375">
        <v>1.7669999999999999</v>
      </c>
      <c r="W88" s="387">
        <v>246.83</v>
      </c>
    </row>
    <row r="89" spans="15:23" ht="14.25" thickBot="1" x14ac:dyDescent="0.2">
      <c r="O89" s="385" t="s">
        <v>504</v>
      </c>
      <c r="P89" s="375">
        <v>0</v>
      </c>
      <c r="Q89" s="375">
        <v>85</v>
      </c>
      <c r="R89" s="375" t="s">
        <v>494</v>
      </c>
      <c r="S89" s="375">
        <v>64</v>
      </c>
      <c r="T89" s="375">
        <v>-28</v>
      </c>
      <c r="U89" s="375">
        <v>2.9809999999999999</v>
      </c>
      <c r="V89" s="375">
        <v>1.641</v>
      </c>
      <c r="W89" s="387">
        <v>231.47</v>
      </c>
    </row>
    <row r="90" spans="15:23" ht="14.25" thickBot="1" x14ac:dyDescent="0.2">
      <c r="O90" s="385" t="s">
        <v>506</v>
      </c>
      <c r="P90" s="375">
        <v>0</v>
      </c>
      <c r="Q90" s="375">
        <v>85</v>
      </c>
      <c r="R90" s="375" t="s">
        <v>494</v>
      </c>
      <c r="S90" s="375">
        <v>69</v>
      </c>
      <c r="T90" s="375">
        <v>-2.8</v>
      </c>
      <c r="U90" s="375">
        <v>3.1480000000000001</v>
      </c>
      <c r="V90" s="375">
        <v>1.704</v>
      </c>
      <c r="W90" s="387">
        <v>230.15</v>
      </c>
    </row>
    <row r="91" spans="15:23" ht="14.25" thickBot="1" x14ac:dyDescent="0.2">
      <c r="O91" s="385" t="s">
        <v>516</v>
      </c>
      <c r="P91" s="375" t="s">
        <v>309</v>
      </c>
      <c r="Q91" s="375">
        <v>95</v>
      </c>
      <c r="R91" s="375" t="s">
        <v>346</v>
      </c>
      <c r="S91" s="375">
        <v>68</v>
      </c>
      <c r="T91" s="375" t="s">
        <v>337</v>
      </c>
      <c r="U91" s="375">
        <v>3.1150000000000002</v>
      </c>
      <c r="V91" s="375">
        <v>1.6910000000000001</v>
      </c>
      <c r="W91" s="387">
        <v>226.18</v>
      </c>
    </row>
    <row r="92" spans="15:23" ht="14.25" thickBot="1" x14ac:dyDescent="0.2">
      <c r="O92" s="385" t="s">
        <v>302</v>
      </c>
      <c r="P92" s="375" t="s">
        <v>303</v>
      </c>
      <c r="Q92" s="375" t="s">
        <v>304</v>
      </c>
      <c r="R92" s="375" t="s">
        <v>305</v>
      </c>
      <c r="S92" s="375">
        <v>81</v>
      </c>
      <c r="T92" s="375">
        <v>-2.2000000000000002</v>
      </c>
      <c r="U92" s="375">
        <v>3.55</v>
      </c>
      <c r="V92" s="375">
        <v>1.855</v>
      </c>
      <c r="W92" s="387">
        <v>207.17</v>
      </c>
    </row>
    <row r="93" spans="15:23" ht="14.25" thickBot="1" x14ac:dyDescent="0.2">
      <c r="O93" s="385" t="s">
        <v>311</v>
      </c>
      <c r="P93" s="375" t="s">
        <v>303</v>
      </c>
      <c r="Q93" s="375" t="s">
        <v>304</v>
      </c>
      <c r="R93" s="375" t="s">
        <v>312</v>
      </c>
      <c r="S93" s="375">
        <v>75</v>
      </c>
      <c r="T93" s="375">
        <v>-2.29</v>
      </c>
      <c r="U93" s="375">
        <v>3.3490000000000002</v>
      </c>
      <c r="V93" s="375">
        <v>1.9770000000000001</v>
      </c>
      <c r="W93" s="387">
        <v>250.16</v>
      </c>
    </row>
    <row r="94" spans="15:23" ht="14.25" thickBot="1" x14ac:dyDescent="0.2">
      <c r="O94" s="382" t="s">
        <v>316</v>
      </c>
      <c r="P94" s="383" t="s">
        <v>317</v>
      </c>
      <c r="Q94" s="383" t="s">
        <v>318</v>
      </c>
      <c r="R94" s="383" t="s">
        <v>319</v>
      </c>
      <c r="S94" s="383">
        <v>61</v>
      </c>
      <c r="T94" s="383">
        <v>-2.2000000000000002</v>
      </c>
      <c r="U94" s="383">
        <v>2.88</v>
      </c>
      <c r="V94" s="383">
        <v>1.6040000000000001</v>
      </c>
      <c r="W94" s="388">
        <v>203.46</v>
      </c>
    </row>
    <row r="95" spans="15:23" ht="14.25" thickBot="1" x14ac:dyDescent="0.2">
      <c r="O95" s="385" t="s">
        <v>326</v>
      </c>
      <c r="P95" s="375" t="s">
        <v>309</v>
      </c>
      <c r="Q95" s="375" t="s">
        <v>304</v>
      </c>
      <c r="R95" s="375" t="s">
        <v>327</v>
      </c>
      <c r="S95" s="375">
        <v>65</v>
      </c>
      <c r="T95" s="375">
        <v>-2.2000000000000002</v>
      </c>
      <c r="U95" s="375">
        <v>3.0139999999999998</v>
      </c>
      <c r="V95" s="375">
        <v>1.6539999999999999</v>
      </c>
      <c r="W95" s="387">
        <v>216.18</v>
      </c>
    </row>
    <row r="96" spans="15:23" ht="14.25" thickBot="1" x14ac:dyDescent="0.2">
      <c r="O96" s="385" t="s">
        <v>332</v>
      </c>
      <c r="P96" s="375" t="s">
        <v>303</v>
      </c>
      <c r="Q96" s="375" t="s">
        <v>304</v>
      </c>
      <c r="R96" s="375" t="s">
        <v>312</v>
      </c>
      <c r="S96" s="375">
        <v>64</v>
      </c>
      <c r="T96" s="375">
        <v>-2.2000000000000002</v>
      </c>
      <c r="U96" s="375">
        <v>2.9809999999999999</v>
      </c>
      <c r="V96" s="375">
        <v>1.641</v>
      </c>
      <c r="W96" s="387">
        <v>213.47</v>
      </c>
    </row>
    <row r="97" spans="15:23" ht="14.25" thickBot="1" x14ac:dyDescent="0.2">
      <c r="O97" s="385" t="s">
        <v>338</v>
      </c>
      <c r="P97" s="375" t="s">
        <v>317</v>
      </c>
      <c r="Q97" s="375" t="s">
        <v>304</v>
      </c>
      <c r="R97" s="375" t="s">
        <v>339</v>
      </c>
      <c r="S97" s="375">
        <v>70</v>
      </c>
      <c r="T97" s="375">
        <v>-2.2000000000000002</v>
      </c>
      <c r="U97" s="375">
        <v>3.1819999999999999</v>
      </c>
      <c r="V97" s="375">
        <v>1.7170000000000001</v>
      </c>
      <c r="W97" s="387">
        <v>233.49</v>
      </c>
    </row>
    <row r="98" spans="15:23" ht="14.25" thickBot="1" x14ac:dyDescent="0.2">
      <c r="O98" s="385" t="s">
        <v>347</v>
      </c>
      <c r="P98" s="375" t="s">
        <v>309</v>
      </c>
      <c r="Q98" s="375" t="s">
        <v>304</v>
      </c>
      <c r="R98" s="375" t="s">
        <v>305</v>
      </c>
      <c r="S98" s="375">
        <v>80</v>
      </c>
      <c r="T98" s="375">
        <v>-3.2</v>
      </c>
      <c r="U98" s="375">
        <v>3.5169999999999999</v>
      </c>
      <c r="V98" s="375">
        <v>1.8420000000000001</v>
      </c>
      <c r="W98" s="387">
        <v>266.83999999999997</v>
      </c>
    </row>
    <row r="99" spans="15:23" ht="14.25" thickBot="1" x14ac:dyDescent="0.2">
      <c r="O99" s="385" t="s">
        <v>352</v>
      </c>
      <c r="P99" s="375" t="s">
        <v>303</v>
      </c>
      <c r="Q99" s="375" t="s">
        <v>304</v>
      </c>
      <c r="R99" s="375" t="s">
        <v>353</v>
      </c>
      <c r="S99" s="375">
        <v>76</v>
      </c>
      <c r="T99" s="375">
        <v>-2.2000000000000002</v>
      </c>
      <c r="U99" s="375">
        <v>3.383</v>
      </c>
      <c r="V99" s="375">
        <v>1.792</v>
      </c>
      <c r="W99" s="387">
        <v>253.5</v>
      </c>
    </row>
    <row r="100" spans="15:23" ht="24.75" thickBot="1" x14ac:dyDescent="0.2">
      <c r="O100" s="382" t="s">
        <v>357</v>
      </c>
      <c r="P100" s="383" t="s">
        <v>358</v>
      </c>
      <c r="Q100" s="383" t="s">
        <v>359</v>
      </c>
      <c r="R100" s="383" t="s">
        <v>360</v>
      </c>
      <c r="S100" s="383">
        <v>79</v>
      </c>
      <c r="T100" s="383">
        <v>-2.2000000000000002</v>
      </c>
      <c r="U100" s="383">
        <v>3.4830000000000001</v>
      </c>
      <c r="V100" s="383">
        <v>1.83</v>
      </c>
      <c r="W100" s="388">
        <v>263.5</v>
      </c>
    </row>
    <row r="101" spans="15:23" ht="14.25" thickBot="1" x14ac:dyDescent="0.2">
      <c r="O101" s="382" t="s">
        <v>364</v>
      </c>
      <c r="P101" s="383" t="s">
        <v>317</v>
      </c>
      <c r="Q101" s="383">
        <v>100</v>
      </c>
      <c r="R101" s="383" t="s">
        <v>327</v>
      </c>
      <c r="S101" s="383">
        <v>87</v>
      </c>
      <c r="T101" s="383">
        <v>-2.2000000000000002</v>
      </c>
      <c r="U101" s="383">
        <v>3.7509999999999999</v>
      </c>
      <c r="V101" s="383">
        <v>1.93</v>
      </c>
      <c r="W101" s="388">
        <v>290.19</v>
      </c>
    </row>
    <row r="102" spans="15:23" ht="14.25" thickBot="1" x14ac:dyDescent="0.2">
      <c r="O102" s="385" t="s">
        <v>372</v>
      </c>
      <c r="P102" s="375" t="s">
        <v>358</v>
      </c>
      <c r="Q102" s="375" t="s">
        <v>304</v>
      </c>
      <c r="R102" s="375" t="s">
        <v>373</v>
      </c>
      <c r="S102" s="375">
        <v>80</v>
      </c>
      <c r="T102" s="375">
        <v>-2.8</v>
      </c>
      <c r="U102" s="375">
        <v>3.5169999999999999</v>
      </c>
      <c r="V102" s="375">
        <v>1.8420000000000001</v>
      </c>
      <c r="W102" s="387">
        <v>266.83999999999997</v>
      </c>
    </row>
    <row r="103" spans="15:23" ht="14.25" thickBot="1" x14ac:dyDescent="0.2">
      <c r="O103" s="385" t="s">
        <v>381</v>
      </c>
      <c r="P103" s="375">
        <v>4</v>
      </c>
      <c r="Q103" s="375" t="s">
        <v>382</v>
      </c>
      <c r="R103" s="375" t="s">
        <v>383</v>
      </c>
      <c r="S103" s="375">
        <v>16</v>
      </c>
      <c r="T103" s="375" t="s">
        <v>384</v>
      </c>
      <c r="U103" s="375">
        <v>1.373</v>
      </c>
      <c r="V103" s="375">
        <v>1.038</v>
      </c>
      <c r="W103" s="387">
        <v>53.37</v>
      </c>
    </row>
    <row r="104" spans="15:23" ht="14.25" thickBot="1" x14ac:dyDescent="0.2">
      <c r="O104" s="382" t="s">
        <v>388</v>
      </c>
      <c r="P104" s="383" t="s">
        <v>303</v>
      </c>
      <c r="Q104" s="383" t="s">
        <v>389</v>
      </c>
      <c r="R104" s="383" t="s">
        <v>390</v>
      </c>
      <c r="S104" s="383">
        <v>37</v>
      </c>
      <c r="T104" s="383">
        <v>-13.3</v>
      </c>
      <c r="U104" s="383">
        <v>2.077</v>
      </c>
      <c r="V104" s="383">
        <v>1.302</v>
      </c>
      <c r="W104" s="388">
        <v>123.41</v>
      </c>
    </row>
    <row r="105" spans="15:23" ht="14.25" thickBot="1" x14ac:dyDescent="0.2">
      <c r="O105" s="382" t="s">
        <v>388</v>
      </c>
      <c r="P105" s="383">
        <v>4.4000000000000004</v>
      </c>
      <c r="Q105" s="383" t="s">
        <v>389</v>
      </c>
      <c r="R105" s="383" t="s">
        <v>396</v>
      </c>
      <c r="S105" s="383">
        <v>37</v>
      </c>
      <c r="T105" s="383">
        <v>-13.3</v>
      </c>
      <c r="U105" s="383">
        <v>2.077</v>
      </c>
      <c r="V105" s="383">
        <v>1.302</v>
      </c>
      <c r="W105" s="388">
        <v>123.41</v>
      </c>
    </row>
    <row r="106" spans="15:23" ht="14.25" thickBot="1" x14ac:dyDescent="0.2">
      <c r="O106" s="382" t="s">
        <v>388</v>
      </c>
      <c r="P106" s="383">
        <v>4.4000000000000004</v>
      </c>
      <c r="Q106" s="383" t="s">
        <v>389</v>
      </c>
      <c r="R106" s="383" t="s">
        <v>386</v>
      </c>
      <c r="S106" s="383">
        <v>39</v>
      </c>
      <c r="T106" s="383">
        <v>-7.2</v>
      </c>
      <c r="U106" s="383">
        <v>2.1429999999999998</v>
      </c>
      <c r="V106" s="383">
        <v>1.3274999999999999</v>
      </c>
      <c r="W106" s="388">
        <v>130.08000000000001</v>
      </c>
    </row>
    <row r="107" spans="15:23" ht="14.25" thickBot="1" x14ac:dyDescent="0.2">
      <c r="O107" s="382" t="s">
        <v>388</v>
      </c>
      <c r="P107" s="383">
        <v>4.4000000000000004</v>
      </c>
      <c r="Q107" s="383" t="s">
        <v>389</v>
      </c>
      <c r="R107" s="383" t="s">
        <v>386</v>
      </c>
      <c r="S107" s="383">
        <v>31</v>
      </c>
      <c r="T107" s="383" t="s">
        <v>337</v>
      </c>
      <c r="U107" s="383">
        <v>1.8759999999999999</v>
      </c>
      <c r="V107" s="383">
        <v>1.2270000000000001</v>
      </c>
      <c r="W107" s="388">
        <v>103.4</v>
      </c>
    </row>
    <row r="108" spans="15:23" ht="14.25" thickBot="1" x14ac:dyDescent="0.2">
      <c r="O108" s="382" t="s">
        <v>412</v>
      </c>
      <c r="P108" s="383" t="s">
        <v>413</v>
      </c>
      <c r="Q108" s="383" t="s">
        <v>337</v>
      </c>
      <c r="R108" s="383" t="s">
        <v>414</v>
      </c>
      <c r="S108" s="383">
        <v>63</v>
      </c>
      <c r="T108" s="383">
        <v>-5.6</v>
      </c>
      <c r="U108" s="383">
        <v>2.948</v>
      </c>
      <c r="V108" s="383">
        <v>1.629</v>
      </c>
      <c r="W108" s="388">
        <v>210.14</v>
      </c>
    </row>
    <row r="109" spans="15:23" ht="14.25" thickBot="1" x14ac:dyDescent="0.2">
      <c r="O109" s="382" t="s">
        <v>416</v>
      </c>
      <c r="P109" s="383" t="s">
        <v>417</v>
      </c>
      <c r="Q109" s="383" t="s">
        <v>337</v>
      </c>
      <c r="R109" s="383" t="s">
        <v>418</v>
      </c>
      <c r="S109" s="383">
        <v>87</v>
      </c>
      <c r="T109" s="383">
        <v>-0.56000000000000005</v>
      </c>
      <c r="U109" s="383">
        <v>3.7509999999999999</v>
      </c>
      <c r="V109" s="383">
        <v>1.93</v>
      </c>
      <c r="W109" s="388">
        <v>290.19</v>
      </c>
    </row>
    <row r="110" spans="15:23" ht="14.25" thickBot="1" x14ac:dyDescent="0.2">
      <c r="O110" s="382" t="s">
        <v>429</v>
      </c>
      <c r="P110" s="383">
        <v>21</v>
      </c>
      <c r="Q110" s="383" t="s">
        <v>430</v>
      </c>
      <c r="R110" s="383" t="s">
        <v>431</v>
      </c>
      <c r="S110" s="383">
        <v>2</v>
      </c>
      <c r="T110" s="383" t="s">
        <v>337</v>
      </c>
      <c r="U110" s="383">
        <v>0.90400000000000003</v>
      </c>
      <c r="V110" s="383">
        <v>0.86199999999999999</v>
      </c>
      <c r="W110" s="388">
        <v>66.709999999999994</v>
      </c>
    </row>
    <row r="111" spans="15:23" ht="14.25" thickBot="1" x14ac:dyDescent="0.2">
      <c r="O111" s="385" t="s">
        <v>433</v>
      </c>
      <c r="P111" s="375" t="s">
        <v>434</v>
      </c>
      <c r="Q111" s="375" t="s">
        <v>430</v>
      </c>
      <c r="R111" s="375" t="s">
        <v>435</v>
      </c>
      <c r="S111" s="375">
        <v>3</v>
      </c>
      <c r="T111" s="375" t="s">
        <v>337</v>
      </c>
      <c r="U111" s="375">
        <v>0.93799999999999994</v>
      </c>
      <c r="V111" s="375">
        <v>0.89500000000000002</v>
      </c>
      <c r="W111" s="387">
        <v>10.01</v>
      </c>
    </row>
    <row r="112" spans="15:23" ht="14.25" thickBot="1" x14ac:dyDescent="0.2">
      <c r="O112" s="385" t="s">
        <v>438</v>
      </c>
      <c r="P112" s="375">
        <v>4</v>
      </c>
      <c r="Q112" s="375" t="s">
        <v>337</v>
      </c>
      <c r="R112" s="375" t="s">
        <v>439</v>
      </c>
      <c r="S112" s="375">
        <v>74</v>
      </c>
      <c r="T112" s="375">
        <v>-1.4</v>
      </c>
      <c r="U112" s="375">
        <v>3.3159999999999998</v>
      </c>
      <c r="V112" s="375">
        <v>1.7669999999999999</v>
      </c>
      <c r="W112" s="387">
        <v>246.83</v>
      </c>
    </row>
    <row r="113" spans="15:23" ht="14.25" thickBot="1" x14ac:dyDescent="0.2">
      <c r="O113" s="382" t="s">
        <v>438</v>
      </c>
      <c r="P113" s="383">
        <v>21</v>
      </c>
      <c r="Q113" s="383" t="s">
        <v>337</v>
      </c>
      <c r="R113" s="383" t="s">
        <v>386</v>
      </c>
      <c r="S113" s="383">
        <v>74</v>
      </c>
      <c r="T113" s="383">
        <v>-1.4</v>
      </c>
      <c r="U113" s="383">
        <v>3.3159999999999998</v>
      </c>
      <c r="V113" s="383">
        <v>1.7669999999999999</v>
      </c>
      <c r="W113" s="388">
        <v>246.83</v>
      </c>
    </row>
    <row r="114" spans="15:23" ht="14.25" thickBot="1" x14ac:dyDescent="0.2">
      <c r="O114" s="382" t="s">
        <v>449</v>
      </c>
      <c r="P114" s="383">
        <v>4</v>
      </c>
      <c r="Q114" s="383" t="s">
        <v>337</v>
      </c>
      <c r="R114" s="383" t="s">
        <v>450</v>
      </c>
      <c r="S114" s="383">
        <v>27</v>
      </c>
      <c r="T114" s="383">
        <v>-15</v>
      </c>
      <c r="U114" s="383">
        <v>1.742</v>
      </c>
      <c r="V114" s="383">
        <v>1.1759999999999999</v>
      </c>
      <c r="W114" s="388">
        <v>50.06</v>
      </c>
    </row>
    <row r="115" spans="15:23" ht="14.25" thickBot="1" x14ac:dyDescent="0.2">
      <c r="O115" s="382" t="s">
        <v>449</v>
      </c>
      <c r="P115" s="383">
        <v>21</v>
      </c>
      <c r="Q115" s="383" t="s">
        <v>430</v>
      </c>
      <c r="R115" s="383" t="s">
        <v>386</v>
      </c>
      <c r="S115" s="383">
        <v>66</v>
      </c>
      <c r="T115" s="383" t="s">
        <v>337</v>
      </c>
      <c r="U115" s="383">
        <v>1.0049999999999999</v>
      </c>
      <c r="V115" s="383">
        <v>0.9</v>
      </c>
      <c r="W115" s="388">
        <v>1.68</v>
      </c>
    </row>
    <row r="116" spans="15:23" ht="14.25" thickBot="1" x14ac:dyDescent="0.2">
      <c r="O116" s="382" t="s">
        <v>460</v>
      </c>
      <c r="P116" s="383" t="s">
        <v>461</v>
      </c>
      <c r="Q116" s="383" t="s">
        <v>402</v>
      </c>
      <c r="R116" s="383" t="s">
        <v>448</v>
      </c>
      <c r="S116" s="383">
        <v>66</v>
      </c>
      <c r="T116" s="383">
        <v>-2.2000000000000002</v>
      </c>
      <c r="U116" s="383">
        <v>3.048</v>
      </c>
      <c r="V116" s="383">
        <v>1.6659999999999999</v>
      </c>
      <c r="W116" s="388">
        <v>220.14</v>
      </c>
    </row>
    <row r="117" spans="15:23" ht="14.25" thickBot="1" x14ac:dyDescent="0.2">
      <c r="O117" s="382" t="s">
        <v>460</v>
      </c>
      <c r="P117" s="383" t="s">
        <v>441</v>
      </c>
      <c r="Q117" s="383" t="s">
        <v>442</v>
      </c>
      <c r="R117" s="383" t="s">
        <v>344</v>
      </c>
      <c r="S117" s="383">
        <v>66</v>
      </c>
      <c r="T117" s="383">
        <v>-22</v>
      </c>
      <c r="U117" s="383">
        <v>3.048</v>
      </c>
      <c r="V117" s="383">
        <v>1.6659999999999999</v>
      </c>
      <c r="W117" s="388">
        <v>220.14</v>
      </c>
    </row>
    <row r="118" spans="15:23" ht="14.25" thickBot="1" x14ac:dyDescent="0.2">
      <c r="O118" s="385" t="s">
        <v>473</v>
      </c>
      <c r="P118" s="375" t="s">
        <v>474</v>
      </c>
      <c r="Q118" s="375" t="s">
        <v>337</v>
      </c>
      <c r="R118" s="375" t="s">
        <v>475</v>
      </c>
      <c r="S118" s="375">
        <v>74</v>
      </c>
      <c r="T118" s="375" t="s">
        <v>337</v>
      </c>
      <c r="U118" s="375">
        <v>3.3159999999999998</v>
      </c>
      <c r="V118" s="375">
        <v>1767</v>
      </c>
      <c r="W118" s="387">
        <v>246.38</v>
      </c>
    </row>
    <row r="119" spans="15:23" ht="14.25" thickBot="1" x14ac:dyDescent="0.2">
      <c r="O119" s="385" t="s">
        <v>477</v>
      </c>
      <c r="P119" s="375" t="s">
        <v>474</v>
      </c>
      <c r="Q119" s="375" t="s">
        <v>337</v>
      </c>
      <c r="R119" s="375" t="s">
        <v>475</v>
      </c>
      <c r="S119" s="375">
        <v>55</v>
      </c>
      <c r="T119" s="375" t="s">
        <v>337</v>
      </c>
      <c r="U119" s="375">
        <v>2.68</v>
      </c>
      <c r="V119" s="375">
        <v>1528</v>
      </c>
      <c r="W119" s="387">
        <v>183.45</v>
      </c>
    </row>
    <row r="120" spans="15:23" ht="14.25" thickBot="1" x14ac:dyDescent="0.2">
      <c r="O120" s="385" t="s">
        <v>479</v>
      </c>
      <c r="P120" s="375" t="s">
        <v>474</v>
      </c>
      <c r="Q120" s="375" t="s">
        <v>337</v>
      </c>
      <c r="R120" s="375" t="s">
        <v>475</v>
      </c>
      <c r="S120" s="375">
        <v>88</v>
      </c>
      <c r="T120" s="375" t="s">
        <v>337</v>
      </c>
      <c r="U120" s="375">
        <v>3.7850000000000001</v>
      </c>
      <c r="V120" s="375">
        <v>1.9430000000000001</v>
      </c>
      <c r="W120" s="387">
        <v>29352</v>
      </c>
    </row>
    <row r="121" spans="15:23" ht="14.25" thickBot="1" x14ac:dyDescent="0.2">
      <c r="O121" s="385" t="s">
        <v>482</v>
      </c>
      <c r="P121" s="375" t="s">
        <v>483</v>
      </c>
      <c r="Q121" s="375">
        <v>40</v>
      </c>
      <c r="R121" s="375" t="s">
        <v>343</v>
      </c>
      <c r="S121" s="375">
        <v>1</v>
      </c>
      <c r="T121" s="375"/>
      <c r="U121" s="375">
        <v>0.871</v>
      </c>
      <c r="V121" s="375" t="s">
        <v>484</v>
      </c>
      <c r="W121" s="387">
        <v>3.34</v>
      </c>
    </row>
    <row r="122" spans="15:23" ht="14.25" thickBot="1" x14ac:dyDescent="0.2">
      <c r="O122" s="385" t="s">
        <v>488</v>
      </c>
      <c r="P122" s="375" t="s">
        <v>483</v>
      </c>
      <c r="Q122" s="375">
        <v>40</v>
      </c>
      <c r="R122" s="375" t="s">
        <v>489</v>
      </c>
      <c r="S122" s="375">
        <v>2</v>
      </c>
      <c r="T122" s="375"/>
      <c r="U122" s="375">
        <v>0.90400000000000003</v>
      </c>
      <c r="V122" s="375">
        <v>0.86199999999999999</v>
      </c>
      <c r="W122" s="387">
        <v>6.67</v>
      </c>
    </row>
    <row r="123" spans="15:23" ht="14.25" thickBot="1" x14ac:dyDescent="0.2">
      <c r="O123" s="385" t="s">
        <v>492</v>
      </c>
      <c r="P123" s="375" t="s">
        <v>483</v>
      </c>
      <c r="Q123" s="375">
        <v>65</v>
      </c>
      <c r="R123" s="375" t="s">
        <v>493</v>
      </c>
      <c r="S123" s="375">
        <v>10</v>
      </c>
      <c r="T123" s="375"/>
      <c r="U123" s="375">
        <v>1.1719999999999999</v>
      </c>
      <c r="V123" s="375">
        <v>0.96299999999999997</v>
      </c>
      <c r="W123" s="387">
        <v>38.35</v>
      </c>
    </row>
    <row r="124" spans="15:23" ht="14.25" thickBot="1" x14ac:dyDescent="0.2">
      <c r="O124" s="385" t="s">
        <v>495</v>
      </c>
      <c r="P124" s="375" t="s">
        <v>483</v>
      </c>
      <c r="Q124" s="375">
        <v>65</v>
      </c>
      <c r="R124" s="375" t="s">
        <v>496</v>
      </c>
      <c r="S124" s="375">
        <v>17</v>
      </c>
      <c r="T124" s="375"/>
      <c r="U124" s="375">
        <v>1.407</v>
      </c>
      <c r="V124" s="375">
        <v>1.0509999999999999</v>
      </c>
      <c r="W124" s="387">
        <v>56.7</v>
      </c>
    </row>
    <row r="125" spans="15:23" ht="14.25" thickBot="1" x14ac:dyDescent="0.2">
      <c r="O125" s="382" t="s">
        <v>499</v>
      </c>
      <c r="P125" s="383" t="s">
        <v>500</v>
      </c>
      <c r="Q125" s="383" t="s">
        <v>337</v>
      </c>
      <c r="R125" s="383" t="s">
        <v>501</v>
      </c>
      <c r="S125" s="383">
        <v>90</v>
      </c>
      <c r="T125" s="383">
        <v>-2.2000000000000002</v>
      </c>
      <c r="U125" s="383">
        <v>3.8519999999999999</v>
      </c>
      <c r="V125" s="383">
        <v>1.986</v>
      </c>
      <c r="W125" s="388">
        <v>300.2</v>
      </c>
    </row>
    <row r="126" spans="15:23" ht="24.75" thickBot="1" x14ac:dyDescent="0.2">
      <c r="O126" s="385" t="s">
        <v>510</v>
      </c>
      <c r="P126" s="375">
        <v>-18</v>
      </c>
      <c r="Q126" s="375" t="s">
        <v>337</v>
      </c>
      <c r="R126" s="375" t="s">
        <v>511</v>
      </c>
      <c r="S126" s="375" t="s">
        <v>512</v>
      </c>
      <c r="T126" s="375" t="s">
        <v>337</v>
      </c>
      <c r="U126" s="375">
        <v>1.9930000000000001</v>
      </c>
      <c r="V126" s="375">
        <v>1.2709999999999999</v>
      </c>
      <c r="W126" s="387" t="s">
        <v>513</v>
      </c>
    </row>
    <row r="127" spans="15:23" ht="14.25" thickBot="1" x14ac:dyDescent="0.2">
      <c r="O127" s="382" t="s">
        <v>518</v>
      </c>
      <c r="P127" s="383" t="s">
        <v>317</v>
      </c>
      <c r="Q127" s="383" t="s">
        <v>402</v>
      </c>
      <c r="R127" s="383" t="s">
        <v>503</v>
      </c>
      <c r="S127" s="383">
        <v>47</v>
      </c>
      <c r="T127" s="383">
        <v>-0.9</v>
      </c>
      <c r="U127" s="383">
        <v>2.4119999999999999</v>
      </c>
      <c r="V127" s="383">
        <v>1.4279999999999999</v>
      </c>
      <c r="W127" s="388" t="s">
        <v>337</v>
      </c>
    </row>
    <row r="128" spans="15:23" ht="24" x14ac:dyDescent="0.15">
      <c r="O128" s="382" t="s">
        <v>519</v>
      </c>
      <c r="P128" s="383" t="s">
        <v>520</v>
      </c>
      <c r="Q128" s="383" t="s">
        <v>402</v>
      </c>
      <c r="R128" s="383" t="s">
        <v>418</v>
      </c>
      <c r="S128" s="383" t="s">
        <v>341</v>
      </c>
      <c r="T128" s="383"/>
      <c r="U128" s="383" t="s">
        <v>521</v>
      </c>
      <c r="V128" s="383" t="s">
        <v>522</v>
      </c>
      <c r="W128" s="388" t="s">
        <v>523</v>
      </c>
    </row>
  </sheetData>
  <phoneticPr fontId="4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U160"/>
  <sheetViews>
    <sheetView zoomScaleNormal="100" workbookViewId="0"/>
  </sheetViews>
  <sheetFormatPr defaultColWidth="9" defaultRowHeight="12" x14ac:dyDescent="0.15"/>
  <cols>
    <col min="1" max="1" width="3.125" style="252" customWidth="1"/>
    <col min="2" max="2" width="13.75" style="252" customWidth="1"/>
    <col min="3" max="3" width="4.5" style="252" customWidth="1"/>
    <col min="4" max="4" width="6.25" style="252" bestFit="1" customWidth="1"/>
    <col min="5" max="5" width="7.5" style="252" customWidth="1"/>
    <col min="6" max="6" width="8.5" style="252" bestFit="1" customWidth="1"/>
    <col min="7" max="7" width="13.75" style="252" customWidth="1"/>
    <col min="8" max="8" width="4.5" style="252" customWidth="1"/>
    <col min="9" max="9" width="7.5" style="252" customWidth="1"/>
    <col min="10" max="10" width="4.5" style="252" customWidth="1"/>
    <col min="11" max="11" width="7.25" style="252" customWidth="1"/>
    <col min="12" max="12" width="7.5" style="252" customWidth="1"/>
    <col min="13" max="13" width="13.75" style="252" customWidth="1"/>
    <col min="14" max="14" width="4.5" style="252" customWidth="1"/>
    <col min="15" max="15" width="7.625" style="252" customWidth="1"/>
    <col min="16" max="16" width="4.5" style="252" customWidth="1"/>
    <col min="17" max="17" width="7.25" style="252" customWidth="1"/>
    <col min="18" max="18" width="7.5" style="252" customWidth="1"/>
    <col min="19" max="19" width="4.125" style="252" customWidth="1"/>
    <col min="20" max="16384" width="9" style="252"/>
  </cols>
  <sheetData>
    <row r="1" spans="1:21" ht="20.100000000000001" customHeight="1" thickBot="1" x14ac:dyDescent="0.25">
      <c r="A1" s="275" t="s">
        <v>203</v>
      </c>
      <c r="B1" s="255"/>
      <c r="C1" s="255"/>
      <c r="D1" s="255"/>
      <c r="E1" s="255"/>
      <c r="F1" s="255"/>
      <c r="G1" s="255"/>
      <c r="O1" s="274" t="s">
        <v>206</v>
      </c>
      <c r="P1" s="254"/>
      <c r="Q1" s="254"/>
    </row>
    <row r="2" spans="1:21" ht="20.100000000000001" customHeight="1" thickTop="1" x14ac:dyDescent="0.15"/>
    <row r="3" spans="1:21" ht="20.100000000000001" customHeight="1" x14ac:dyDescent="0.15">
      <c r="A3" s="1" t="s">
        <v>207</v>
      </c>
      <c r="B3" s="1"/>
    </row>
    <row r="4" spans="1:21" s="63" customFormat="1" ht="20.100000000000001" customHeight="1" x14ac:dyDescent="0.15">
      <c r="A4" s="393" t="s">
        <v>191</v>
      </c>
      <c r="B4" s="391" t="s">
        <v>192</v>
      </c>
      <c r="C4" s="15" t="s">
        <v>21</v>
      </c>
      <c r="D4" s="15" t="s">
        <v>0</v>
      </c>
      <c r="E4" s="391" t="s">
        <v>193</v>
      </c>
      <c r="F4" s="397"/>
      <c r="G4" s="393" t="s">
        <v>197</v>
      </c>
      <c r="H4" s="391" t="s">
        <v>198</v>
      </c>
      <c r="I4" s="15" t="s">
        <v>199</v>
      </c>
      <c r="J4" s="391" t="s">
        <v>182</v>
      </c>
      <c r="K4" s="391" t="s">
        <v>200</v>
      </c>
      <c r="L4" s="398"/>
      <c r="M4" s="393" t="s">
        <v>202</v>
      </c>
      <c r="N4" s="391" t="s">
        <v>198</v>
      </c>
      <c r="O4" s="15" t="s">
        <v>199</v>
      </c>
      <c r="P4" s="391" t="s">
        <v>182</v>
      </c>
      <c r="Q4" s="391" t="s">
        <v>200</v>
      </c>
      <c r="R4" s="398"/>
      <c r="S4" s="271"/>
      <c r="T4" s="395" t="s">
        <v>181</v>
      </c>
      <c r="U4" s="396"/>
    </row>
    <row r="5" spans="1:21" s="64" customFormat="1" ht="20.100000000000001" customHeight="1" x14ac:dyDescent="0.15">
      <c r="A5" s="394"/>
      <c r="B5" s="392"/>
      <c r="C5" s="267" t="s">
        <v>95</v>
      </c>
      <c r="D5" s="267" t="s">
        <v>194</v>
      </c>
      <c r="E5" s="267" t="s">
        <v>195</v>
      </c>
      <c r="F5" s="268" t="s">
        <v>196</v>
      </c>
      <c r="G5" s="394"/>
      <c r="H5" s="392"/>
      <c r="I5" s="267" t="s">
        <v>195</v>
      </c>
      <c r="J5" s="392"/>
      <c r="K5" s="267" t="s">
        <v>195</v>
      </c>
      <c r="L5" s="269" t="s">
        <v>201</v>
      </c>
      <c r="M5" s="394"/>
      <c r="N5" s="392"/>
      <c r="O5" s="267" t="s">
        <v>195</v>
      </c>
      <c r="P5" s="392"/>
      <c r="Q5" s="267" t="s">
        <v>195</v>
      </c>
      <c r="R5" s="269" t="s">
        <v>201</v>
      </c>
      <c r="S5" s="272"/>
      <c r="T5" s="270" t="s">
        <v>204</v>
      </c>
      <c r="U5" s="21" t="s">
        <v>205</v>
      </c>
    </row>
    <row r="6" spans="1:21" s="64" customFormat="1" ht="20.100000000000001" customHeight="1" x14ac:dyDescent="0.15">
      <c r="A6" s="256">
        <v>1</v>
      </c>
      <c r="B6" s="286"/>
      <c r="C6" s="287"/>
      <c r="D6" s="288"/>
      <c r="E6" s="287"/>
      <c r="F6" s="265" t="str">
        <f>IFERROR(E6*860/$D6,"")</f>
        <v/>
      </c>
      <c r="G6" s="280"/>
      <c r="H6" s="281"/>
      <c r="I6" s="281"/>
      <c r="J6" s="281"/>
      <c r="K6" s="281"/>
      <c r="L6" s="265" t="str">
        <f>IFERROR(K6*860/$D6,"")</f>
        <v/>
      </c>
      <c r="M6" s="280"/>
      <c r="N6" s="281"/>
      <c r="O6" s="281"/>
      <c r="P6" s="281"/>
      <c r="Q6" s="281"/>
      <c r="R6" s="266" t="str">
        <f>IFERROR(Q6*860/$D6,"")</f>
        <v/>
      </c>
      <c r="S6" s="272"/>
      <c r="T6" s="276" t="str">
        <f t="shared" ref="T6:T25" si="0">IFERROR(K6/$E6*100,"")</f>
        <v/>
      </c>
      <c r="U6" s="277" t="str">
        <f t="shared" ref="U6:U25" si="1">IFERROR(Q6/$E6*100,"")</f>
        <v/>
      </c>
    </row>
    <row r="7" spans="1:21" ht="20.100000000000001" customHeight="1" x14ac:dyDescent="0.15">
      <c r="A7" s="258">
        <v>2</v>
      </c>
      <c r="B7" s="283"/>
      <c r="C7" s="283"/>
      <c r="D7" s="289"/>
      <c r="E7" s="283"/>
      <c r="F7" s="257" t="str">
        <f>IFERROR(E7*860/$D7,"")</f>
        <v/>
      </c>
      <c r="G7" s="282"/>
      <c r="H7" s="283"/>
      <c r="I7" s="283"/>
      <c r="J7" s="283"/>
      <c r="K7" s="283"/>
      <c r="L7" s="260" t="str">
        <f t="shared" ref="L7:L25" si="2">IFERROR(K7*860/$D7,"")</f>
        <v/>
      </c>
      <c r="M7" s="282"/>
      <c r="N7" s="283"/>
      <c r="O7" s="283"/>
      <c r="P7" s="283"/>
      <c r="Q7" s="283"/>
      <c r="R7" s="261" t="str">
        <f t="shared" ref="R7:R25" si="3">IFERROR(Q7*860/$D7,"")</f>
        <v/>
      </c>
      <c r="S7" s="273"/>
      <c r="T7" s="278" t="str">
        <f t="shared" si="0"/>
        <v/>
      </c>
      <c r="U7" s="279" t="str">
        <f t="shared" si="1"/>
        <v/>
      </c>
    </row>
    <row r="8" spans="1:21" ht="20.100000000000001" customHeight="1" x14ac:dyDescent="0.15">
      <c r="A8" s="258">
        <v>3</v>
      </c>
      <c r="B8" s="283"/>
      <c r="C8" s="283"/>
      <c r="D8" s="289"/>
      <c r="E8" s="283"/>
      <c r="F8" s="260" t="str">
        <f t="shared" ref="F8:F25" si="4">IFERROR(E8*860/$D8,"")</f>
        <v/>
      </c>
      <c r="G8" s="282"/>
      <c r="H8" s="283"/>
      <c r="I8" s="283"/>
      <c r="J8" s="283"/>
      <c r="K8" s="283"/>
      <c r="L8" s="260" t="str">
        <f t="shared" si="2"/>
        <v/>
      </c>
      <c r="M8" s="282"/>
      <c r="N8" s="283"/>
      <c r="O8" s="283"/>
      <c r="P8" s="283"/>
      <c r="Q8" s="283"/>
      <c r="R8" s="261" t="str">
        <f t="shared" si="3"/>
        <v/>
      </c>
      <c r="S8" s="273"/>
      <c r="T8" s="278" t="str">
        <f t="shared" si="0"/>
        <v/>
      </c>
      <c r="U8" s="279" t="str">
        <f t="shared" si="1"/>
        <v/>
      </c>
    </row>
    <row r="9" spans="1:21" ht="20.100000000000001" customHeight="1" x14ac:dyDescent="0.15">
      <c r="A9" s="258">
        <v>4</v>
      </c>
      <c r="B9" s="283"/>
      <c r="C9" s="283"/>
      <c r="D9" s="289"/>
      <c r="E9" s="283"/>
      <c r="F9" s="260" t="str">
        <f t="shared" si="4"/>
        <v/>
      </c>
      <c r="G9" s="282"/>
      <c r="H9" s="283"/>
      <c r="I9" s="283"/>
      <c r="J9" s="283"/>
      <c r="K9" s="283"/>
      <c r="L9" s="260" t="str">
        <f t="shared" si="2"/>
        <v/>
      </c>
      <c r="M9" s="282"/>
      <c r="N9" s="283"/>
      <c r="O9" s="283"/>
      <c r="P9" s="283"/>
      <c r="Q9" s="283"/>
      <c r="R9" s="261" t="str">
        <f t="shared" si="3"/>
        <v/>
      </c>
      <c r="S9" s="273"/>
      <c r="T9" s="278" t="str">
        <f t="shared" si="0"/>
        <v/>
      </c>
      <c r="U9" s="279" t="str">
        <f t="shared" si="1"/>
        <v/>
      </c>
    </row>
    <row r="10" spans="1:21" ht="20.100000000000001" customHeight="1" x14ac:dyDescent="0.15">
      <c r="A10" s="258">
        <v>5</v>
      </c>
      <c r="B10" s="283"/>
      <c r="C10" s="283"/>
      <c r="D10" s="289"/>
      <c r="E10" s="283"/>
      <c r="F10" s="260" t="str">
        <f t="shared" si="4"/>
        <v/>
      </c>
      <c r="G10" s="282"/>
      <c r="H10" s="283"/>
      <c r="I10" s="283"/>
      <c r="J10" s="283"/>
      <c r="K10" s="283"/>
      <c r="L10" s="260" t="str">
        <f t="shared" si="2"/>
        <v/>
      </c>
      <c r="M10" s="282"/>
      <c r="N10" s="283"/>
      <c r="O10" s="283"/>
      <c r="P10" s="283"/>
      <c r="Q10" s="283"/>
      <c r="R10" s="261" t="str">
        <f t="shared" si="3"/>
        <v/>
      </c>
      <c r="S10" s="273"/>
      <c r="T10" s="278" t="str">
        <f t="shared" si="0"/>
        <v/>
      </c>
      <c r="U10" s="279" t="str">
        <f t="shared" si="1"/>
        <v/>
      </c>
    </row>
    <row r="11" spans="1:21" ht="20.100000000000001" customHeight="1" x14ac:dyDescent="0.15">
      <c r="A11" s="258">
        <v>6</v>
      </c>
      <c r="B11" s="283"/>
      <c r="C11" s="283"/>
      <c r="D11" s="289"/>
      <c r="E11" s="283"/>
      <c r="F11" s="260" t="str">
        <f t="shared" si="4"/>
        <v/>
      </c>
      <c r="G11" s="282"/>
      <c r="H11" s="283"/>
      <c r="I11" s="283"/>
      <c r="J11" s="283"/>
      <c r="K11" s="283"/>
      <c r="L11" s="260" t="str">
        <f t="shared" si="2"/>
        <v/>
      </c>
      <c r="M11" s="282"/>
      <c r="N11" s="283"/>
      <c r="O11" s="283"/>
      <c r="P11" s="283"/>
      <c r="Q11" s="283"/>
      <c r="R11" s="261" t="str">
        <f t="shared" si="3"/>
        <v/>
      </c>
      <c r="S11" s="273"/>
      <c r="T11" s="278" t="str">
        <f t="shared" si="0"/>
        <v/>
      </c>
      <c r="U11" s="279" t="str">
        <f t="shared" si="1"/>
        <v/>
      </c>
    </row>
    <row r="12" spans="1:21" ht="20.100000000000001" customHeight="1" x14ac:dyDescent="0.15">
      <c r="A12" s="258">
        <v>7</v>
      </c>
      <c r="B12" s="283"/>
      <c r="C12" s="283"/>
      <c r="D12" s="289"/>
      <c r="E12" s="283"/>
      <c r="F12" s="260" t="str">
        <f t="shared" si="4"/>
        <v/>
      </c>
      <c r="G12" s="282"/>
      <c r="H12" s="283"/>
      <c r="I12" s="283"/>
      <c r="J12" s="283"/>
      <c r="K12" s="283"/>
      <c r="L12" s="260" t="str">
        <f t="shared" si="2"/>
        <v/>
      </c>
      <c r="M12" s="282"/>
      <c r="N12" s="283"/>
      <c r="O12" s="283"/>
      <c r="P12" s="283"/>
      <c r="Q12" s="283"/>
      <c r="R12" s="261" t="str">
        <f t="shared" si="3"/>
        <v/>
      </c>
      <c r="S12" s="273"/>
      <c r="T12" s="278" t="str">
        <f t="shared" si="0"/>
        <v/>
      </c>
      <c r="U12" s="279" t="str">
        <f t="shared" si="1"/>
        <v/>
      </c>
    </row>
    <row r="13" spans="1:21" ht="20.100000000000001" customHeight="1" x14ac:dyDescent="0.15">
      <c r="A13" s="258">
        <v>8</v>
      </c>
      <c r="B13" s="283"/>
      <c r="C13" s="283"/>
      <c r="D13" s="289"/>
      <c r="E13" s="283"/>
      <c r="F13" s="260" t="str">
        <f t="shared" si="4"/>
        <v/>
      </c>
      <c r="G13" s="282"/>
      <c r="H13" s="283"/>
      <c r="I13" s="283"/>
      <c r="J13" s="283"/>
      <c r="K13" s="283"/>
      <c r="L13" s="260" t="str">
        <f t="shared" si="2"/>
        <v/>
      </c>
      <c r="M13" s="282"/>
      <c r="N13" s="283"/>
      <c r="O13" s="283"/>
      <c r="P13" s="283"/>
      <c r="Q13" s="283"/>
      <c r="R13" s="261" t="str">
        <f t="shared" si="3"/>
        <v/>
      </c>
      <c r="S13" s="273"/>
      <c r="T13" s="278" t="str">
        <f t="shared" si="0"/>
        <v/>
      </c>
      <c r="U13" s="279" t="str">
        <f t="shared" si="1"/>
        <v/>
      </c>
    </row>
    <row r="14" spans="1:21" ht="20.100000000000001" customHeight="1" x14ac:dyDescent="0.15">
      <c r="A14" s="258">
        <v>9</v>
      </c>
      <c r="B14" s="283"/>
      <c r="C14" s="283"/>
      <c r="D14" s="289"/>
      <c r="E14" s="283"/>
      <c r="F14" s="260" t="str">
        <f t="shared" si="4"/>
        <v/>
      </c>
      <c r="G14" s="282"/>
      <c r="H14" s="283"/>
      <c r="I14" s="283"/>
      <c r="J14" s="283"/>
      <c r="K14" s="283"/>
      <c r="L14" s="260" t="str">
        <f t="shared" si="2"/>
        <v/>
      </c>
      <c r="M14" s="282"/>
      <c r="N14" s="283"/>
      <c r="O14" s="283"/>
      <c r="P14" s="283"/>
      <c r="Q14" s="283"/>
      <c r="R14" s="261" t="str">
        <f t="shared" si="3"/>
        <v/>
      </c>
      <c r="S14" s="273"/>
      <c r="T14" s="278" t="str">
        <f t="shared" si="0"/>
        <v/>
      </c>
      <c r="U14" s="279" t="str">
        <f t="shared" si="1"/>
        <v/>
      </c>
    </row>
    <row r="15" spans="1:21" ht="20.100000000000001" customHeight="1" x14ac:dyDescent="0.15">
      <c r="A15" s="258">
        <v>10</v>
      </c>
      <c r="B15" s="283"/>
      <c r="C15" s="283"/>
      <c r="D15" s="289"/>
      <c r="E15" s="283"/>
      <c r="F15" s="260" t="str">
        <f t="shared" si="4"/>
        <v/>
      </c>
      <c r="G15" s="282"/>
      <c r="H15" s="283"/>
      <c r="I15" s="283"/>
      <c r="J15" s="283"/>
      <c r="K15" s="283"/>
      <c r="L15" s="260" t="str">
        <f t="shared" si="2"/>
        <v/>
      </c>
      <c r="M15" s="282"/>
      <c r="N15" s="283"/>
      <c r="O15" s="283"/>
      <c r="P15" s="283"/>
      <c r="Q15" s="283"/>
      <c r="R15" s="261" t="str">
        <f t="shared" si="3"/>
        <v/>
      </c>
      <c r="S15" s="273"/>
      <c r="T15" s="278" t="str">
        <f t="shared" si="0"/>
        <v/>
      </c>
      <c r="U15" s="279" t="str">
        <f t="shared" si="1"/>
        <v/>
      </c>
    </row>
    <row r="16" spans="1:21" ht="20.100000000000001" customHeight="1" x14ac:dyDescent="0.15">
      <c r="A16" s="259">
        <v>11</v>
      </c>
      <c r="B16" s="283"/>
      <c r="C16" s="283"/>
      <c r="D16" s="289"/>
      <c r="E16" s="283"/>
      <c r="F16" s="260" t="str">
        <f t="shared" si="4"/>
        <v/>
      </c>
      <c r="G16" s="282"/>
      <c r="H16" s="283"/>
      <c r="I16" s="283"/>
      <c r="J16" s="283"/>
      <c r="K16" s="283"/>
      <c r="L16" s="260" t="str">
        <f t="shared" si="2"/>
        <v/>
      </c>
      <c r="M16" s="282"/>
      <c r="N16" s="283"/>
      <c r="O16" s="283"/>
      <c r="P16" s="283"/>
      <c r="Q16" s="283"/>
      <c r="R16" s="261" t="str">
        <f t="shared" si="3"/>
        <v/>
      </c>
      <c r="S16" s="273"/>
      <c r="T16" s="278" t="str">
        <f t="shared" si="0"/>
        <v/>
      </c>
      <c r="U16" s="279" t="str">
        <f t="shared" si="1"/>
        <v/>
      </c>
    </row>
    <row r="17" spans="1:21" ht="20.100000000000001" customHeight="1" x14ac:dyDescent="0.15">
      <c r="A17" s="259">
        <v>12</v>
      </c>
      <c r="B17" s="283"/>
      <c r="C17" s="283"/>
      <c r="D17" s="289"/>
      <c r="E17" s="283"/>
      <c r="F17" s="260" t="str">
        <f t="shared" si="4"/>
        <v/>
      </c>
      <c r="G17" s="282"/>
      <c r="H17" s="283"/>
      <c r="I17" s="283"/>
      <c r="J17" s="283"/>
      <c r="K17" s="283"/>
      <c r="L17" s="260" t="str">
        <f t="shared" si="2"/>
        <v/>
      </c>
      <c r="M17" s="282"/>
      <c r="N17" s="283"/>
      <c r="O17" s="283"/>
      <c r="P17" s="283"/>
      <c r="Q17" s="283"/>
      <c r="R17" s="261" t="str">
        <f t="shared" si="3"/>
        <v/>
      </c>
      <c r="S17" s="273"/>
      <c r="T17" s="278" t="str">
        <f t="shared" si="0"/>
        <v/>
      </c>
      <c r="U17" s="279" t="str">
        <f t="shared" si="1"/>
        <v/>
      </c>
    </row>
    <row r="18" spans="1:21" ht="20.100000000000001" customHeight="1" x14ac:dyDescent="0.15">
      <c r="A18" s="259">
        <v>13</v>
      </c>
      <c r="B18" s="283"/>
      <c r="C18" s="283"/>
      <c r="D18" s="289"/>
      <c r="E18" s="283"/>
      <c r="F18" s="260" t="str">
        <f t="shared" si="4"/>
        <v/>
      </c>
      <c r="G18" s="282"/>
      <c r="H18" s="283"/>
      <c r="I18" s="283"/>
      <c r="J18" s="283"/>
      <c r="K18" s="283"/>
      <c r="L18" s="260" t="str">
        <f t="shared" si="2"/>
        <v/>
      </c>
      <c r="M18" s="282"/>
      <c r="N18" s="283"/>
      <c r="O18" s="283"/>
      <c r="P18" s="283"/>
      <c r="Q18" s="283"/>
      <c r="R18" s="261" t="str">
        <f t="shared" si="3"/>
        <v/>
      </c>
      <c r="S18" s="273"/>
      <c r="T18" s="278" t="str">
        <f t="shared" si="0"/>
        <v/>
      </c>
      <c r="U18" s="279" t="str">
        <f t="shared" si="1"/>
        <v/>
      </c>
    </row>
    <row r="19" spans="1:21" ht="20.100000000000001" customHeight="1" x14ac:dyDescent="0.15">
      <c r="A19" s="259">
        <v>14</v>
      </c>
      <c r="B19" s="283"/>
      <c r="C19" s="283"/>
      <c r="D19" s="289"/>
      <c r="E19" s="283"/>
      <c r="F19" s="260" t="str">
        <f t="shared" si="4"/>
        <v/>
      </c>
      <c r="G19" s="282"/>
      <c r="H19" s="283"/>
      <c r="I19" s="283"/>
      <c r="J19" s="283"/>
      <c r="K19" s="283"/>
      <c r="L19" s="260" t="str">
        <f t="shared" si="2"/>
        <v/>
      </c>
      <c r="M19" s="282"/>
      <c r="N19" s="283"/>
      <c r="O19" s="283"/>
      <c r="P19" s="283"/>
      <c r="Q19" s="283"/>
      <c r="R19" s="261" t="str">
        <f t="shared" si="3"/>
        <v/>
      </c>
      <c r="S19" s="273"/>
      <c r="T19" s="278" t="str">
        <f t="shared" si="0"/>
        <v/>
      </c>
      <c r="U19" s="279" t="str">
        <f t="shared" si="1"/>
        <v/>
      </c>
    </row>
    <row r="20" spans="1:21" ht="20.100000000000001" customHeight="1" x14ac:dyDescent="0.15">
      <c r="A20" s="259">
        <v>15</v>
      </c>
      <c r="B20" s="283"/>
      <c r="C20" s="283"/>
      <c r="D20" s="289"/>
      <c r="E20" s="283"/>
      <c r="F20" s="260" t="str">
        <f t="shared" si="4"/>
        <v/>
      </c>
      <c r="G20" s="282"/>
      <c r="H20" s="283"/>
      <c r="I20" s="283"/>
      <c r="J20" s="283"/>
      <c r="K20" s="283"/>
      <c r="L20" s="260" t="str">
        <f t="shared" si="2"/>
        <v/>
      </c>
      <c r="M20" s="282"/>
      <c r="N20" s="283"/>
      <c r="O20" s="283"/>
      <c r="P20" s="283"/>
      <c r="Q20" s="283"/>
      <c r="R20" s="261" t="str">
        <f t="shared" si="3"/>
        <v/>
      </c>
      <c r="S20" s="273"/>
      <c r="T20" s="278" t="str">
        <f t="shared" si="0"/>
        <v/>
      </c>
      <c r="U20" s="279" t="str">
        <f t="shared" si="1"/>
        <v/>
      </c>
    </row>
    <row r="21" spans="1:21" ht="20.100000000000001" customHeight="1" x14ac:dyDescent="0.15">
      <c r="A21" s="259">
        <v>16</v>
      </c>
      <c r="B21" s="283"/>
      <c r="C21" s="283"/>
      <c r="D21" s="289"/>
      <c r="E21" s="283"/>
      <c r="F21" s="260" t="str">
        <f t="shared" si="4"/>
        <v/>
      </c>
      <c r="G21" s="282"/>
      <c r="H21" s="283"/>
      <c r="I21" s="283"/>
      <c r="J21" s="283"/>
      <c r="K21" s="283"/>
      <c r="L21" s="260" t="str">
        <f t="shared" si="2"/>
        <v/>
      </c>
      <c r="M21" s="282"/>
      <c r="N21" s="283"/>
      <c r="O21" s="283"/>
      <c r="P21" s="283"/>
      <c r="Q21" s="283"/>
      <c r="R21" s="261" t="str">
        <f t="shared" si="3"/>
        <v/>
      </c>
      <c r="S21" s="273"/>
      <c r="T21" s="278" t="str">
        <f t="shared" si="0"/>
        <v/>
      </c>
      <c r="U21" s="279" t="str">
        <f t="shared" si="1"/>
        <v/>
      </c>
    </row>
    <row r="22" spans="1:21" ht="20.100000000000001" customHeight="1" x14ac:dyDescent="0.15">
      <c r="A22" s="259">
        <v>17</v>
      </c>
      <c r="B22" s="283"/>
      <c r="C22" s="283"/>
      <c r="D22" s="289"/>
      <c r="E22" s="283"/>
      <c r="F22" s="260" t="str">
        <f t="shared" si="4"/>
        <v/>
      </c>
      <c r="G22" s="282"/>
      <c r="H22" s="283"/>
      <c r="I22" s="283"/>
      <c r="J22" s="283"/>
      <c r="K22" s="283"/>
      <c r="L22" s="260" t="str">
        <f t="shared" si="2"/>
        <v/>
      </c>
      <c r="M22" s="282"/>
      <c r="N22" s="283"/>
      <c r="O22" s="283"/>
      <c r="P22" s="283"/>
      <c r="Q22" s="283"/>
      <c r="R22" s="261" t="str">
        <f t="shared" si="3"/>
        <v/>
      </c>
      <c r="S22" s="273"/>
      <c r="T22" s="278" t="str">
        <f t="shared" si="0"/>
        <v/>
      </c>
      <c r="U22" s="279" t="str">
        <f t="shared" si="1"/>
        <v/>
      </c>
    </row>
    <row r="23" spans="1:21" ht="20.100000000000001" customHeight="1" x14ac:dyDescent="0.15">
      <c r="A23" s="259">
        <v>18</v>
      </c>
      <c r="B23" s="283"/>
      <c r="C23" s="283"/>
      <c r="D23" s="289"/>
      <c r="E23" s="283"/>
      <c r="F23" s="260" t="str">
        <f t="shared" si="4"/>
        <v/>
      </c>
      <c r="G23" s="282"/>
      <c r="H23" s="283"/>
      <c r="I23" s="283"/>
      <c r="J23" s="283"/>
      <c r="K23" s="283"/>
      <c r="L23" s="260" t="str">
        <f t="shared" si="2"/>
        <v/>
      </c>
      <c r="M23" s="282"/>
      <c r="N23" s="283"/>
      <c r="O23" s="283"/>
      <c r="P23" s="283"/>
      <c r="Q23" s="283"/>
      <c r="R23" s="261" t="str">
        <f t="shared" si="3"/>
        <v/>
      </c>
      <c r="S23" s="273"/>
      <c r="T23" s="278" t="str">
        <f t="shared" si="0"/>
        <v/>
      </c>
      <c r="U23" s="279" t="str">
        <f t="shared" si="1"/>
        <v/>
      </c>
    </row>
    <row r="24" spans="1:21" ht="20.100000000000001" customHeight="1" x14ac:dyDescent="0.15">
      <c r="A24" s="259">
        <v>19</v>
      </c>
      <c r="B24" s="283"/>
      <c r="C24" s="283"/>
      <c r="D24" s="289"/>
      <c r="E24" s="283"/>
      <c r="F24" s="260" t="str">
        <f t="shared" si="4"/>
        <v/>
      </c>
      <c r="G24" s="282"/>
      <c r="H24" s="283"/>
      <c r="I24" s="283"/>
      <c r="J24" s="283"/>
      <c r="K24" s="283"/>
      <c r="L24" s="260" t="str">
        <f t="shared" si="2"/>
        <v/>
      </c>
      <c r="M24" s="282"/>
      <c r="N24" s="283"/>
      <c r="O24" s="283"/>
      <c r="P24" s="283"/>
      <c r="Q24" s="283"/>
      <c r="R24" s="261" t="str">
        <f t="shared" si="3"/>
        <v/>
      </c>
      <c r="S24" s="273"/>
      <c r="T24" s="278" t="str">
        <f t="shared" si="0"/>
        <v/>
      </c>
      <c r="U24" s="279" t="str">
        <f t="shared" si="1"/>
        <v/>
      </c>
    </row>
    <row r="25" spans="1:21" ht="20.100000000000001" customHeight="1" x14ac:dyDescent="0.15">
      <c r="A25" s="262">
        <v>20</v>
      </c>
      <c r="B25" s="285"/>
      <c r="C25" s="285"/>
      <c r="D25" s="290"/>
      <c r="E25" s="285"/>
      <c r="F25" s="263" t="str">
        <f t="shared" si="4"/>
        <v/>
      </c>
      <c r="G25" s="284"/>
      <c r="H25" s="285"/>
      <c r="I25" s="285"/>
      <c r="J25" s="285"/>
      <c r="K25" s="285"/>
      <c r="L25" s="263" t="str">
        <f t="shared" si="2"/>
        <v/>
      </c>
      <c r="M25" s="284"/>
      <c r="N25" s="285"/>
      <c r="O25" s="285"/>
      <c r="P25" s="285"/>
      <c r="Q25" s="285"/>
      <c r="R25" s="264" t="str">
        <f t="shared" si="3"/>
        <v/>
      </c>
      <c r="S25" s="273"/>
      <c r="T25" s="278" t="str">
        <f t="shared" si="0"/>
        <v/>
      </c>
      <c r="U25" s="279" t="str">
        <f t="shared" si="1"/>
        <v/>
      </c>
    </row>
    <row r="26" spans="1:21" ht="20.100000000000001" customHeight="1" x14ac:dyDescent="0.15">
      <c r="D26" s="253"/>
    </row>
    <row r="27" spans="1:21" ht="20.100000000000001" customHeight="1" x14ac:dyDescent="0.15"/>
    <row r="28" spans="1:21" ht="20.100000000000001" customHeight="1" x14ac:dyDescent="0.15"/>
    <row r="29" spans="1:21" ht="20.100000000000001" customHeight="1" x14ac:dyDescent="0.15"/>
    <row r="30" spans="1:21" ht="20.100000000000001" customHeight="1" x14ac:dyDescent="0.15"/>
    <row r="31" spans="1:21" ht="20.100000000000001" customHeight="1" x14ac:dyDescent="0.15"/>
    <row r="32" spans="1:21" ht="20.100000000000001" customHeight="1" x14ac:dyDescent="0.15"/>
    <row r="33" ht="20.100000000000001" customHeight="1" x14ac:dyDescent="0.15"/>
    <row r="34" ht="20.100000000000001" customHeight="1" x14ac:dyDescent="0.15"/>
    <row r="35" ht="20.100000000000001" customHeight="1" x14ac:dyDescent="0.15"/>
    <row r="36" ht="20.100000000000001" customHeight="1" x14ac:dyDescent="0.15"/>
    <row r="37" ht="20.100000000000001" customHeight="1" x14ac:dyDescent="0.15"/>
    <row r="38" ht="20.100000000000001" customHeight="1" x14ac:dyDescent="0.15"/>
    <row r="39" ht="20.100000000000001" customHeight="1" x14ac:dyDescent="0.15"/>
    <row r="40" ht="20.100000000000001" customHeight="1" x14ac:dyDescent="0.15"/>
    <row r="41" ht="20.100000000000001" customHeight="1" x14ac:dyDescent="0.15"/>
    <row r="42" ht="20.100000000000001" customHeight="1" x14ac:dyDescent="0.15"/>
    <row r="43" ht="20.100000000000001" customHeight="1" x14ac:dyDescent="0.15"/>
    <row r="44" ht="20.100000000000001" customHeight="1" x14ac:dyDescent="0.15"/>
    <row r="45" ht="20.100000000000001" customHeight="1" x14ac:dyDescent="0.15"/>
    <row r="46" ht="20.100000000000001" customHeight="1" x14ac:dyDescent="0.15"/>
    <row r="47" ht="20.100000000000001" customHeight="1" x14ac:dyDescent="0.15"/>
    <row r="48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  <row r="80" ht="20.100000000000001" customHeight="1" x14ac:dyDescent="0.15"/>
    <row r="81" ht="20.100000000000001" customHeight="1" x14ac:dyDescent="0.15"/>
    <row r="82" ht="20.100000000000001" customHeight="1" x14ac:dyDescent="0.15"/>
    <row r="83" ht="20.100000000000001" customHeight="1" x14ac:dyDescent="0.15"/>
    <row r="84" ht="20.100000000000001" customHeight="1" x14ac:dyDescent="0.15"/>
    <row r="85" ht="20.100000000000001" customHeight="1" x14ac:dyDescent="0.15"/>
    <row r="86" ht="20.100000000000001" customHeight="1" x14ac:dyDescent="0.15"/>
    <row r="87" ht="20.100000000000001" customHeight="1" x14ac:dyDescent="0.15"/>
    <row r="88" ht="20.100000000000001" customHeight="1" x14ac:dyDescent="0.15"/>
    <row r="89" ht="20.100000000000001" customHeight="1" x14ac:dyDescent="0.15"/>
    <row r="90" ht="20.100000000000001" customHeight="1" x14ac:dyDescent="0.15"/>
    <row r="91" ht="20.100000000000001" customHeight="1" x14ac:dyDescent="0.15"/>
    <row r="92" ht="20.100000000000001" customHeight="1" x14ac:dyDescent="0.15"/>
    <row r="93" ht="20.100000000000001" customHeight="1" x14ac:dyDescent="0.15"/>
    <row r="94" ht="20.100000000000001" customHeight="1" x14ac:dyDescent="0.15"/>
    <row r="95" ht="20.100000000000001" customHeight="1" x14ac:dyDescent="0.15"/>
    <row r="96" ht="20.100000000000001" customHeight="1" x14ac:dyDescent="0.15"/>
    <row r="97" ht="20.100000000000001" customHeight="1" x14ac:dyDescent="0.15"/>
    <row r="98" ht="20.100000000000001" customHeight="1" x14ac:dyDescent="0.15"/>
    <row r="99" ht="20.100000000000001" customHeight="1" x14ac:dyDescent="0.15"/>
    <row r="100" ht="20.100000000000001" customHeight="1" x14ac:dyDescent="0.15"/>
    <row r="101" ht="20.100000000000001" customHeight="1" x14ac:dyDescent="0.15"/>
    <row r="102" ht="20.100000000000001" customHeight="1" x14ac:dyDescent="0.15"/>
    <row r="103" ht="20.100000000000001" customHeight="1" x14ac:dyDescent="0.15"/>
    <row r="104" ht="20.100000000000001" customHeight="1" x14ac:dyDescent="0.15"/>
    <row r="105" ht="20.100000000000001" customHeight="1" x14ac:dyDescent="0.15"/>
    <row r="106" ht="20.100000000000001" customHeight="1" x14ac:dyDescent="0.15"/>
    <row r="107" ht="20.100000000000001" customHeight="1" x14ac:dyDescent="0.15"/>
    <row r="108" ht="20.100000000000001" customHeight="1" x14ac:dyDescent="0.15"/>
    <row r="109" ht="20.100000000000001" customHeight="1" x14ac:dyDescent="0.15"/>
    <row r="110" ht="20.100000000000001" customHeight="1" x14ac:dyDescent="0.15"/>
    <row r="111" ht="20.100000000000001" customHeight="1" x14ac:dyDescent="0.15"/>
    <row r="112" ht="20.100000000000001" customHeight="1" x14ac:dyDescent="0.15"/>
    <row r="113" ht="20.100000000000001" customHeight="1" x14ac:dyDescent="0.15"/>
    <row r="114" ht="20.100000000000001" customHeight="1" x14ac:dyDescent="0.15"/>
    <row r="115" ht="20.100000000000001" customHeight="1" x14ac:dyDescent="0.15"/>
    <row r="116" ht="20.100000000000001" customHeight="1" x14ac:dyDescent="0.15"/>
    <row r="117" ht="20.100000000000001" customHeight="1" x14ac:dyDescent="0.15"/>
    <row r="118" ht="20.100000000000001" customHeight="1" x14ac:dyDescent="0.15"/>
    <row r="119" ht="20.100000000000001" customHeight="1" x14ac:dyDescent="0.15"/>
    <row r="120" ht="20.100000000000001" customHeight="1" x14ac:dyDescent="0.15"/>
    <row r="121" ht="20.100000000000001" customHeight="1" x14ac:dyDescent="0.15"/>
    <row r="122" ht="20.100000000000001" customHeight="1" x14ac:dyDescent="0.15"/>
    <row r="123" ht="20.100000000000001" customHeight="1" x14ac:dyDescent="0.15"/>
    <row r="124" ht="20.100000000000001" customHeight="1" x14ac:dyDescent="0.15"/>
    <row r="125" ht="20.100000000000001" customHeight="1" x14ac:dyDescent="0.15"/>
    <row r="126" ht="20.100000000000001" customHeight="1" x14ac:dyDescent="0.15"/>
    <row r="127" ht="20.100000000000001" customHeight="1" x14ac:dyDescent="0.15"/>
    <row r="128" ht="20.100000000000001" customHeight="1" x14ac:dyDescent="0.15"/>
    <row r="129" ht="20.100000000000001" customHeight="1" x14ac:dyDescent="0.15"/>
    <row r="130" ht="20.100000000000001" customHeight="1" x14ac:dyDescent="0.15"/>
    <row r="131" ht="20.100000000000001" customHeight="1" x14ac:dyDescent="0.15"/>
    <row r="132" ht="20.100000000000001" customHeight="1" x14ac:dyDescent="0.15"/>
    <row r="133" ht="20.100000000000001" customHeight="1" x14ac:dyDescent="0.15"/>
    <row r="134" ht="20.100000000000001" customHeight="1" x14ac:dyDescent="0.15"/>
    <row r="135" ht="20.100000000000001" customHeight="1" x14ac:dyDescent="0.15"/>
    <row r="136" ht="20.100000000000001" customHeight="1" x14ac:dyDescent="0.15"/>
    <row r="137" ht="20.100000000000001" customHeight="1" x14ac:dyDescent="0.15"/>
    <row r="138" ht="20.100000000000001" customHeight="1" x14ac:dyDescent="0.15"/>
    <row r="139" ht="20.100000000000001" customHeight="1" x14ac:dyDescent="0.15"/>
    <row r="140" ht="20.100000000000001" customHeight="1" x14ac:dyDescent="0.15"/>
    <row r="141" ht="20.100000000000001" customHeight="1" x14ac:dyDescent="0.15"/>
    <row r="142" ht="20.100000000000001" customHeight="1" x14ac:dyDescent="0.15"/>
    <row r="143" ht="20.100000000000001" customHeight="1" x14ac:dyDescent="0.15"/>
    <row r="144" ht="20.100000000000001" customHeight="1" x14ac:dyDescent="0.15"/>
    <row r="145" ht="20.100000000000001" customHeight="1" x14ac:dyDescent="0.15"/>
    <row r="146" ht="20.100000000000001" customHeight="1" x14ac:dyDescent="0.15"/>
    <row r="147" ht="20.100000000000001" customHeight="1" x14ac:dyDescent="0.15"/>
    <row r="148" ht="20.100000000000001" customHeight="1" x14ac:dyDescent="0.15"/>
    <row r="149" ht="20.100000000000001" customHeight="1" x14ac:dyDescent="0.15"/>
    <row r="150" ht="20.100000000000001" customHeight="1" x14ac:dyDescent="0.15"/>
    <row r="151" ht="20.100000000000001" customHeight="1" x14ac:dyDescent="0.15"/>
    <row r="152" ht="20.100000000000001" customHeight="1" x14ac:dyDescent="0.15"/>
    <row r="153" ht="20.100000000000001" customHeight="1" x14ac:dyDescent="0.15"/>
    <row r="154" ht="20.100000000000001" customHeight="1" x14ac:dyDescent="0.15"/>
    <row r="155" ht="20.100000000000001" customHeight="1" x14ac:dyDescent="0.15"/>
    <row r="156" ht="20.100000000000001" customHeight="1" x14ac:dyDescent="0.15"/>
    <row r="157" ht="20.100000000000001" customHeight="1" x14ac:dyDescent="0.15"/>
    <row r="158" ht="20.100000000000001" customHeight="1" x14ac:dyDescent="0.15"/>
    <row r="159" ht="20.100000000000001" customHeight="1" x14ac:dyDescent="0.15"/>
    <row r="160" ht="20.100000000000001" customHeight="1" x14ac:dyDescent="0.15"/>
  </sheetData>
  <mergeCells count="12">
    <mergeCell ref="T4:U4"/>
    <mergeCell ref="E4:F4"/>
    <mergeCell ref="K4:L4"/>
    <mergeCell ref="Q4:R4"/>
    <mergeCell ref="P4:P5"/>
    <mergeCell ref="N4:N5"/>
    <mergeCell ref="B4:B5"/>
    <mergeCell ref="A4:A5"/>
    <mergeCell ref="G4:G5"/>
    <mergeCell ref="M4:M5"/>
    <mergeCell ref="H4:H5"/>
    <mergeCell ref="J4:J5"/>
  </mergeCells>
  <phoneticPr fontId="4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37"/>
  <sheetViews>
    <sheetView view="pageBreakPreview" zoomScaleNormal="100" zoomScaleSheetLayoutView="100" workbookViewId="0">
      <selection activeCell="D20" sqref="D20"/>
    </sheetView>
  </sheetViews>
  <sheetFormatPr defaultRowHeight="13.5" x14ac:dyDescent="0.15"/>
  <cols>
    <col min="1" max="1" width="0.875" customWidth="1"/>
    <col min="2" max="3" width="2.625" customWidth="1"/>
    <col min="4" max="4" width="12.625" customWidth="1"/>
    <col min="5" max="12" width="7.125" customWidth="1"/>
    <col min="13" max="13" width="7.625" customWidth="1"/>
    <col min="14" max="16" width="7.75" customWidth="1"/>
    <col min="17" max="17" width="8.75" customWidth="1"/>
    <col min="18" max="24" width="5.75" customWidth="1"/>
  </cols>
  <sheetData>
    <row r="1" spans="1:26" ht="20.100000000000001" customHeight="1" x14ac:dyDescent="0.15">
      <c r="A1" s="399" t="s">
        <v>531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12"/>
      <c r="O1" s="150">
        <f>設計条件!AS3000</f>
        <v>0</v>
      </c>
      <c r="P1" s="148"/>
    </row>
    <row r="2" spans="1:26" ht="18" customHeight="1" x14ac:dyDescent="0.15">
      <c r="A2" s="13"/>
      <c r="B2" s="14"/>
      <c r="C2" s="14"/>
      <c r="D2" s="15" t="s">
        <v>34</v>
      </c>
      <c r="E2" s="401">
        <f>設計条件!C3000</f>
        <v>0</v>
      </c>
      <c r="F2" s="401"/>
      <c r="G2" s="401"/>
      <c r="H2" s="401"/>
      <c r="I2" s="401"/>
      <c r="J2" s="14"/>
      <c r="K2" s="14"/>
      <c r="L2" s="14"/>
      <c r="M2" s="16"/>
      <c r="N2" s="17"/>
      <c r="O2" s="18"/>
      <c r="P2" s="19"/>
    </row>
    <row r="3" spans="1:26" ht="12.95" customHeight="1" x14ac:dyDescent="0.15">
      <c r="A3" s="20"/>
      <c r="B3" s="21">
        <v>1</v>
      </c>
      <c r="C3" s="22"/>
      <c r="D3" s="23" t="s">
        <v>35</v>
      </c>
      <c r="E3" s="24"/>
      <c r="F3" s="24"/>
      <c r="G3" s="24"/>
      <c r="H3" s="24"/>
      <c r="I3" s="24"/>
      <c r="J3" s="24"/>
      <c r="K3" s="24"/>
      <c r="L3" s="24"/>
      <c r="M3" s="25"/>
      <c r="N3" s="25"/>
      <c r="O3" s="26"/>
      <c r="P3" s="27"/>
    </row>
    <row r="4" spans="1:26" ht="12.95" customHeight="1" x14ac:dyDescent="0.15">
      <c r="A4" s="20"/>
      <c r="B4" s="24"/>
      <c r="C4" s="28">
        <v>1</v>
      </c>
      <c r="D4" s="29" t="s">
        <v>36</v>
      </c>
      <c r="E4" s="28"/>
      <c r="F4" s="354">
        <f>設計条件!W2</f>
        <v>35</v>
      </c>
      <c r="G4" s="28"/>
      <c r="H4" s="30" t="s">
        <v>37</v>
      </c>
      <c r="I4" s="349">
        <f>設計条件!Z2</f>
        <v>60</v>
      </c>
      <c r="J4" s="28"/>
      <c r="K4" s="34" t="s">
        <v>38</v>
      </c>
      <c r="L4" s="306">
        <f>設計条件!AD2</f>
        <v>89.584129333496094</v>
      </c>
      <c r="M4" s="51" t="s">
        <v>255</v>
      </c>
      <c r="N4" s="30" t="s">
        <v>39</v>
      </c>
      <c r="O4" s="144">
        <f>設計条件!AG2</f>
        <v>1.107662558555603</v>
      </c>
      <c r="P4" s="356" t="s">
        <v>97</v>
      </c>
      <c r="Q4" s="402"/>
      <c r="R4" s="402"/>
      <c r="S4" s="402"/>
      <c r="T4" s="402"/>
      <c r="U4" s="402"/>
      <c r="V4" s="402"/>
      <c r="W4" s="402"/>
      <c r="X4" s="402"/>
    </row>
    <row r="5" spans="1:26" ht="12.95" customHeight="1" x14ac:dyDescent="0.15">
      <c r="A5" s="20"/>
      <c r="B5" s="24"/>
      <c r="C5" s="28">
        <v>2</v>
      </c>
      <c r="D5" s="29" t="s">
        <v>40</v>
      </c>
      <c r="E5" s="30" t="s">
        <v>41</v>
      </c>
      <c r="F5" s="353">
        <f>設計条件!V3000</f>
        <v>0</v>
      </c>
      <c r="G5" s="28"/>
      <c r="H5" s="30" t="s">
        <v>10</v>
      </c>
      <c r="I5" s="353">
        <f>IF(AND(設計条件!W3000=設計条件!X3000,設計条件!Y3000=設計条件!Z3000,設計条件!X3000=設計条件!Y3000),設計条件!W3000,"※")</f>
        <v>0</v>
      </c>
      <c r="J5" s="28"/>
      <c r="K5" s="30" t="s">
        <v>9</v>
      </c>
      <c r="L5" s="353">
        <f>設計条件!AA3000</f>
        <v>0</v>
      </c>
      <c r="M5" s="51"/>
      <c r="N5" s="140"/>
      <c r="O5" s="26"/>
      <c r="P5" s="27"/>
    </row>
    <row r="6" spans="1:26" ht="12.95" customHeight="1" x14ac:dyDescent="0.15">
      <c r="A6" s="20"/>
      <c r="B6" s="24"/>
      <c r="C6" s="28">
        <v>3</v>
      </c>
      <c r="D6" s="29" t="s">
        <v>109</v>
      </c>
      <c r="E6" s="30" t="s">
        <v>42</v>
      </c>
      <c r="F6" s="352">
        <f>設計条件!AM3000</f>
        <v>0</v>
      </c>
      <c r="G6" s="28"/>
      <c r="H6" s="30" t="s">
        <v>37</v>
      </c>
      <c r="I6" s="349">
        <f>設計条件!AN3000</f>
        <v>0</v>
      </c>
      <c r="J6" s="28"/>
      <c r="K6" s="34" t="s">
        <v>38</v>
      </c>
      <c r="L6" s="144">
        <f>設計条件!AO3000</f>
        <v>0</v>
      </c>
      <c r="M6" s="51" t="s">
        <v>255</v>
      </c>
      <c r="N6" s="30" t="s">
        <v>39</v>
      </c>
      <c r="O6" s="465">
        <f>設計条件!AP3000</f>
        <v>0</v>
      </c>
      <c r="P6" s="356" t="s">
        <v>97</v>
      </c>
      <c r="Q6" s="124"/>
      <c r="R6" s="403"/>
      <c r="S6" s="403"/>
      <c r="T6" s="403"/>
      <c r="U6" s="403"/>
      <c r="V6" s="403"/>
      <c r="W6" s="403"/>
      <c r="X6" s="403"/>
    </row>
    <row r="7" spans="1:26" ht="12.95" customHeight="1" x14ac:dyDescent="0.15">
      <c r="A7" s="20"/>
      <c r="B7" s="24"/>
      <c r="C7" s="28">
        <v>4</v>
      </c>
      <c r="D7" s="29" t="s">
        <v>43</v>
      </c>
      <c r="E7" s="30" t="s">
        <v>44</v>
      </c>
      <c r="F7" s="468">
        <f>設計条件!I3000</f>
        <v>0</v>
      </c>
      <c r="G7" s="28"/>
      <c r="H7" s="28" t="s">
        <v>45</v>
      </c>
      <c r="I7" s="468">
        <f>設計条件!J3000</f>
        <v>0</v>
      </c>
      <c r="J7" s="28"/>
      <c r="K7" s="28" t="s">
        <v>46</v>
      </c>
      <c r="L7" s="468">
        <f>設計条件!K3000</f>
        <v>0</v>
      </c>
      <c r="M7" s="51"/>
      <c r="N7" s="25"/>
      <c r="O7" s="26"/>
      <c r="P7" s="27"/>
    </row>
    <row r="8" spans="1:26" ht="12.95" customHeight="1" x14ac:dyDescent="0.15">
      <c r="A8" s="20"/>
      <c r="B8" s="24"/>
      <c r="C8" s="28">
        <v>5</v>
      </c>
      <c r="D8" s="29" t="s">
        <v>7</v>
      </c>
      <c r="E8" s="28"/>
      <c r="F8" s="109">
        <f>設計条件!Q3000</f>
        <v>0</v>
      </c>
      <c r="G8" s="130" t="s">
        <v>143</v>
      </c>
      <c r="H8" s="130"/>
      <c r="I8" s="28"/>
      <c r="J8" s="28"/>
      <c r="K8" s="21"/>
      <c r="L8" s="28"/>
      <c r="M8" s="51"/>
      <c r="N8" s="25"/>
      <c r="P8" s="27"/>
      <c r="Q8" s="122"/>
    </row>
    <row r="9" spans="1:26" ht="12.95" customHeight="1" x14ac:dyDescent="0.15">
      <c r="A9" s="20"/>
      <c r="B9" s="21"/>
      <c r="C9" s="28">
        <v>6</v>
      </c>
      <c r="D9" s="29" t="s">
        <v>104</v>
      </c>
      <c r="E9" s="30" t="s">
        <v>100</v>
      </c>
      <c r="F9" s="352">
        <f>設計条件!O3000</f>
        <v>0</v>
      </c>
      <c r="G9" s="28"/>
      <c r="H9" s="30" t="s">
        <v>101</v>
      </c>
      <c r="I9" s="352">
        <f>設計条件!P3000</f>
        <v>0</v>
      </c>
      <c r="J9" s="28"/>
      <c r="K9" s="30"/>
      <c r="L9" s="28"/>
      <c r="M9" s="51"/>
      <c r="N9" s="25"/>
      <c r="O9" s="26"/>
      <c r="P9" s="27"/>
      <c r="Q9" s="33"/>
      <c r="R9" s="404"/>
      <c r="S9" s="404"/>
      <c r="T9" s="404"/>
      <c r="U9" s="404"/>
      <c r="V9" s="404"/>
      <c r="W9" s="404"/>
      <c r="X9" s="404"/>
    </row>
    <row r="10" spans="1:26" ht="12.95" customHeight="1" x14ac:dyDescent="0.15">
      <c r="A10" s="20"/>
      <c r="B10" s="21"/>
      <c r="C10" s="28">
        <v>7</v>
      </c>
      <c r="D10" s="29" t="s">
        <v>105</v>
      </c>
      <c r="E10" s="38" t="s">
        <v>102</v>
      </c>
      <c r="F10" s="113">
        <f>設計条件!R3000</f>
        <v>0</v>
      </c>
      <c r="G10" s="51" t="s">
        <v>110</v>
      </c>
      <c r="H10" s="38" t="s">
        <v>103</v>
      </c>
      <c r="I10" s="469">
        <f>設計条件!S3000</f>
        <v>0</v>
      </c>
      <c r="J10" s="51" t="s">
        <v>110</v>
      </c>
      <c r="K10" s="30" t="s">
        <v>106</v>
      </c>
      <c r="L10" s="110">
        <f>設計条件!T3000</f>
        <v>0</v>
      </c>
      <c r="M10" s="51" t="s">
        <v>255</v>
      </c>
      <c r="N10" s="25"/>
      <c r="O10" s="135"/>
      <c r="P10" s="27"/>
      <c r="Q10" s="123"/>
      <c r="R10" s="32"/>
      <c r="S10" s="32"/>
      <c r="T10" s="32"/>
      <c r="U10" s="32"/>
      <c r="V10" s="32"/>
      <c r="W10" s="32"/>
      <c r="X10" s="32"/>
    </row>
    <row r="11" spans="1:26" ht="12.95" customHeight="1" x14ac:dyDescent="0.15">
      <c r="A11" s="20"/>
      <c r="B11" s="21"/>
      <c r="C11" s="28">
        <v>8</v>
      </c>
      <c r="D11" s="29" t="s">
        <v>8</v>
      </c>
      <c r="E11" s="28"/>
      <c r="F11" s="355">
        <f>設計条件!U3000</f>
        <v>0</v>
      </c>
      <c r="G11" s="28"/>
      <c r="H11" s="24"/>
      <c r="I11" s="23"/>
      <c r="J11" s="24"/>
      <c r="K11" s="24"/>
      <c r="L11" s="24"/>
      <c r="M11" s="51"/>
      <c r="N11" s="25"/>
      <c r="O11" s="26"/>
      <c r="P11" s="27"/>
      <c r="Q11" s="124"/>
      <c r="R11" s="404"/>
      <c r="S11" s="404"/>
      <c r="T11" s="404"/>
      <c r="U11" s="404"/>
      <c r="V11" s="404"/>
      <c r="W11" s="404"/>
      <c r="X11" s="404"/>
    </row>
    <row r="12" spans="1:26" ht="12.95" customHeight="1" x14ac:dyDescent="0.15">
      <c r="A12" s="20"/>
      <c r="B12" s="24"/>
      <c r="C12" s="28">
        <v>9</v>
      </c>
      <c r="D12" s="29" t="s">
        <v>139</v>
      </c>
      <c r="E12" s="30" t="s">
        <v>111</v>
      </c>
      <c r="F12" s="351">
        <f>設計条件!E3000</f>
        <v>0</v>
      </c>
      <c r="G12" s="28"/>
      <c r="H12" s="30" t="s">
        <v>37</v>
      </c>
      <c r="I12" s="350">
        <f>設計条件!F3000</f>
        <v>0</v>
      </c>
      <c r="J12" s="28"/>
      <c r="K12" s="34" t="s">
        <v>38</v>
      </c>
      <c r="L12" s="467">
        <f>設計条件!G3000</f>
        <v>0</v>
      </c>
      <c r="M12" s="51" t="s">
        <v>255</v>
      </c>
      <c r="N12" s="30" t="s">
        <v>39</v>
      </c>
      <c r="O12" s="466">
        <f>設計条件!H3000</f>
        <v>0</v>
      </c>
      <c r="P12" s="356" t="s">
        <v>97</v>
      </c>
    </row>
    <row r="13" spans="1:26" ht="12.95" customHeight="1" x14ac:dyDescent="0.15">
      <c r="A13" s="20"/>
      <c r="B13" s="24"/>
      <c r="C13" s="28">
        <v>10</v>
      </c>
      <c r="D13" s="29" t="s">
        <v>47</v>
      </c>
      <c r="E13" s="28"/>
      <c r="F13" s="352">
        <f>設計条件!AS3000</f>
        <v>0</v>
      </c>
      <c r="G13" s="28"/>
      <c r="H13" s="30" t="s">
        <v>37</v>
      </c>
      <c r="I13" s="350">
        <f>設計条件!AT3000</f>
        <v>0</v>
      </c>
      <c r="J13" s="28"/>
      <c r="K13" s="34" t="s">
        <v>38</v>
      </c>
      <c r="L13" s="306">
        <f>設計条件!AU3000</f>
        <v>0</v>
      </c>
      <c r="M13" s="51" t="s">
        <v>255</v>
      </c>
      <c r="N13" s="30" t="s">
        <v>39</v>
      </c>
      <c r="O13" s="144">
        <f>設計条件!AV3000</f>
        <v>0</v>
      </c>
      <c r="P13" s="356" t="s">
        <v>97</v>
      </c>
      <c r="Q13" s="124"/>
      <c r="R13" s="409"/>
      <c r="S13" s="409"/>
      <c r="T13" s="409"/>
      <c r="U13" s="409"/>
      <c r="V13" s="409"/>
      <c r="W13" s="409"/>
      <c r="X13" s="409"/>
      <c r="Y13" s="409"/>
      <c r="Z13" s="409"/>
    </row>
    <row r="14" spans="1:26" ht="12.95" customHeight="1" x14ac:dyDescent="0.15">
      <c r="A14" s="20"/>
      <c r="B14" s="24"/>
      <c r="C14" s="28">
        <v>11</v>
      </c>
      <c r="D14" s="29" t="s">
        <v>49</v>
      </c>
      <c r="E14" s="28"/>
      <c r="F14" s="112">
        <f>設計条件!AR3000</f>
        <v>0</v>
      </c>
      <c r="G14" s="130" t="s">
        <v>118</v>
      </c>
      <c r="H14" s="30"/>
      <c r="I14" s="28"/>
      <c r="J14" s="28"/>
      <c r="K14" s="34"/>
      <c r="L14" s="35"/>
      <c r="M14" s="30"/>
      <c r="N14" s="30"/>
      <c r="O14" s="36"/>
      <c r="P14" s="31"/>
      <c r="Q14" s="33"/>
      <c r="R14" s="32"/>
      <c r="S14" s="32"/>
      <c r="T14" s="32"/>
      <c r="U14" s="32"/>
      <c r="V14" s="32"/>
      <c r="W14" s="32"/>
      <c r="X14" s="32"/>
      <c r="Y14" s="32"/>
      <c r="Z14" s="32"/>
    </row>
    <row r="15" spans="1:26" ht="4.5" customHeight="1" x14ac:dyDescent="0.15">
      <c r="A15" s="20"/>
      <c r="B15" s="21"/>
      <c r="C15" s="22"/>
      <c r="D15" s="22"/>
      <c r="E15" s="24"/>
      <c r="F15" s="24"/>
      <c r="G15" s="24"/>
      <c r="H15" s="24"/>
      <c r="I15" s="24"/>
      <c r="J15" s="24"/>
      <c r="K15" s="24"/>
      <c r="L15" s="24"/>
      <c r="M15" s="25"/>
      <c r="N15" s="25"/>
      <c r="O15" s="26"/>
      <c r="P15" s="27"/>
    </row>
    <row r="16" spans="1:26" ht="12.95" customHeight="1" x14ac:dyDescent="0.15">
      <c r="A16" s="20"/>
      <c r="B16" s="21">
        <v>2</v>
      </c>
      <c r="C16" s="22"/>
      <c r="D16" s="23" t="s">
        <v>51</v>
      </c>
      <c r="E16" s="407" t="s">
        <v>52</v>
      </c>
      <c r="F16" s="408"/>
      <c r="G16" s="408"/>
      <c r="H16" s="408"/>
      <c r="I16" s="408"/>
      <c r="J16" s="408"/>
      <c r="K16" s="408"/>
      <c r="L16" s="408"/>
      <c r="M16" s="408"/>
      <c r="N16" s="408"/>
      <c r="O16" s="408"/>
      <c r="P16" s="27"/>
    </row>
    <row r="17" spans="1:24" ht="12.95" customHeight="1" x14ac:dyDescent="0.15">
      <c r="A17" s="20"/>
      <c r="B17" s="21"/>
      <c r="C17" s="22"/>
      <c r="D17" s="23"/>
      <c r="E17" s="38" t="s">
        <v>44</v>
      </c>
      <c r="F17" s="38" t="s">
        <v>53</v>
      </c>
      <c r="G17" s="38" t="s">
        <v>54</v>
      </c>
      <c r="H17" s="38" t="s">
        <v>55</v>
      </c>
      <c r="I17" s="38" t="str">
        <f>D5</f>
        <v>庫外温度</v>
      </c>
      <c r="J17" s="38" t="str">
        <f>D12</f>
        <v>庫内室温</v>
      </c>
      <c r="K17" s="37"/>
      <c r="L17" s="37"/>
      <c r="M17" s="37"/>
      <c r="N17" s="37"/>
      <c r="O17" s="37"/>
      <c r="P17" s="27"/>
    </row>
    <row r="18" spans="1:24" ht="12.95" customHeight="1" x14ac:dyDescent="0.15">
      <c r="A18" s="20"/>
      <c r="B18" s="24"/>
      <c r="C18" s="28">
        <v>1</v>
      </c>
      <c r="D18" s="29" t="str">
        <f>設計条件!V5</f>
        <v>天井</v>
      </c>
      <c r="E18" s="468">
        <f>F7</f>
        <v>0</v>
      </c>
      <c r="F18" s="468">
        <f>I7</f>
        <v>0</v>
      </c>
      <c r="G18" s="108">
        <f>設計条件!AD3000</f>
        <v>0</v>
      </c>
      <c r="H18" s="111">
        <f>設計条件!AE3000*0.001</f>
        <v>0</v>
      </c>
      <c r="I18" s="108">
        <f>設計条件!$V$3000</f>
        <v>0</v>
      </c>
      <c r="J18" s="471">
        <f>F12</f>
        <v>0</v>
      </c>
      <c r="K18" s="28"/>
      <c r="L18" s="28" t="s">
        <v>56</v>
      </c>
      <c r="M18" s="346" t="e">
        <f>SUM(E18*F18)*(G18/H18)*(I18-J18)/(1000)</f>
        <v>#DIV/0!</v>
      </c>
      <c r="N18" s="30"/>
      <c r="O18" s="26"/>
      <c r="P18" s="141" t="s">
        <v>3</v>
      </c>
      <c r="Q18" s="402"/>
      <c r="R18" s="402"/>
      <c r="S18" s="402"/>
      <c r="T18" s="402"/>
      <c r="U18" s="402"/>
      <c r="V18" s="402"/>
      <c r="W18" s="402"/>
      <c r="X18" s="402"/>
    </row>
    <row r="19" spans="1:24" ht="12.95" customHeight="1" x14ac:dyDescent="0.15">
      <c r="A19" s="20"/>
      <c r="B19" s="24"/>
      <c r="C19" s="23"/>
      <c r="D19" s="41" t="e">
        <f>INDEX(設計資料!$B$45:$E$52,MATCH( H18,設計資料!$A$45:$A$52,0 ),MATCH(G18,設計資料!$B$44:$E$44,0 ))</f>
        <v>#N/A</v>
      </c>
      <c r="E19" s="28"/>
      <c r="F19" s="28"/>
      <c r="G19" s="28"/>
      <c r="H19" s="42"/>
      <c r="I19" s="28"/>
      <c r="J19" s="39"/>
      <c r="K19" s="28"/>
      <c r="L19" s="28"/>
      <c r="M19" s="40"/>
      <c r="N19" s="30"/>
      <c r="O19" s="26"/>
      <c r="P19" s="27"/>
      <c r="Q19" s="402"/>
      <c r="R19" s="402"/>
      <c r="S19" s="402"/>
      <c r="T19" s="402"/>
      <c r="U19" s="402"/>
      <c r="V19" s="402"/>
      <c r="W19" s="402"/>
      <c r="X19" s="402"/>
    </row>
    <row r="20" spans="1:24" ht="12.95" customHeight="1" x14ac:dyDescent="0.15">
      <c r="A20" s="20"/>
      <c r="B20" s="24"/>
      <c r="C20" s="28">
        <v>2</v>
      </c>
      <c r="D20" s="29" t="str">
        <f>設計条件!W5</f>
        <v>壁-北</v>
      </c>
      <c r="E20" s="468">
        <f>F7</f>
        <v>0</v>
      </c>
      <c r="F20" s="468">
        <f>L7</f>
        <v>0</v>
      </c>
      <c r="G20" s="108">
        <f>設計条件!AB3000</f>
        <v>0</v>
      </c>
      <c r="H20" s="111">
        <f>設計条件!AC3000*0.001</f>
        <v>0</v>
      </c>
      <c r="I20" s="108">
        <f>設計条件!$W$3000</f>
        <v>0</v>
      </c>
      <c r="J20" s="471">
        <f>F12</f>
        <v>0</v>
      </c>
      <c r="K20" s="28"/>
      <c r="L20" s="28" t="s">
        <v>56</v>
      </c>
      <c r="M20" s="346" t="e">
        <f>SUM(E20*F20)*(G20/H20)*(I20-J20)/(1000)</f>
        <v>#DIV/0!</v>
      </c>
      <c r="N20" s="30"/>
      <c r="O20" s="26"/>
      <c r="P20" s="141"/>
    </row>
    <row r="21" spans="1:24" ht="12.95" customHeight="1" x14ac:dyDescent="0.15">
      <c r="A21" s="20"/>
      <c r="B21" s="24"/>
      <c r="C21" s="28"/>
      <c r="D21" s="41" t="e">
        <f>INDEX(設計資料!$B$45:$E$52,MATCH( H20,設計資料!$A$45:$A$52,0 ),MATCH(G20,設計資料!$B$44:$E$44,0 ))</f>
        <v>#N/A</v>
      </c>
      <c r="E21" s="28"/>
      <c r="F21" s="28"/>
      <c r="G21" s="28"/>
      <c r="H21" s="42"/>
      <c r="I21" s="28"/>
      <c r="J21" s="39"/>
      <c r="K21" s="28"/>
      <c r="L21" s="28"/>
      <c r="M21" s="40"/>
      <c r="N21" s="30"/>
      <c r="O21" s="26"/>
      <c r="P21" s="27"/>
    </row>
    <row r="22" spans="1:24" ht="12.95" customHeight="1" x14ac:dyDescent="0.15">
      <c r="A22" s="20"/>
      <c r="B22" s="24"/>
      <c r="C22" s="28">
        <v>3</v>
      </c>
      <c r="D22" s="29" t="str">
        <f>設計条件!X5</f>
        <v>壁-東</v>
      </c>
      <c r="E22" s="468">
        <f>I7</f>
        <v>0</v>
      </c>
      <c r="F22" s="468">
        <f>L7</f>
        <v>0</v>
      </c>
      <c r="G22" s="108">
        <f>設計条件!AB3000</f>
        <v>0</v>
      </c>
      <c r="H22" s="111">
        <f>設計条件!AC3000*0.001</f>
        <v>0</v>
      </c>
      <c r="I22" s="108">
        <f>設計条件!$X$3000</f>
        <v>0</v>
      </c>
      <c r="J22" s="471">
        <f>F12</f>
        <v>0</v>
      </c>
      <c r="K22" s="28"/>
      <c r="L22" s="28" t="s">
        <v>56</v>
      </c>
      <c r="M22" s="346" t="e">
        <f>SUM(E22*F22)*(G22/H22)*(I22-J22)/(1000)</f>
        <v>#DIV/0!</v>
      </c>
      <c r="N22" s="30"/>
      <c r="O22" s="26"/>
      <c r="P22" s="141"/>
    </row>
    <row r="23" spans="1:24" ht="12.95" customHeight="1" x14ac:dyDescent="0.15">
      <c r="A23" s="20"/>
      <c r="B23" s="24"/>
      <c r="C23" s="23"/>
      <c r="D23" s="41" t="e">
        <f>INDEX(設計資料!$B$45:$E$52,MATCH( H22,設計資料!$A$45:$A$52,0 ),MATCH(G22,設計資料!$B$44:$E$44,0 ))</f>
        <v>#N/A</v>
      </c>
      <c r="E23" s="28"/>
      <c r="F23" s="28"/>
      <c r="G23" s="28"/>
      <c r="H23" s="42"/>
      <c r="I23" s="28"/>
      <c r="J23" s="39"/>
      <c r="K23" s="28"/>
      <c r="L23" s="28"/>
      <c r="M23" s="40"/>
      <c r="N23" s="30"/>
      <c r="O23" s="26"/>
      <c r="P23" s="27"/>
    </row>
    <row r="24" spans="1:24" ht="12.95" customHeight="1" x14ac:dyDescent="0.15">
      <c r="A24" s="20"/>
      <c r="B24" s="24"/>
      <c r="C24" s="28">
        <v>4</v>
      </c>
      <c r="D24" s="29" t="str">
        <f>設計条件!Y5</f>
        <v>壁-西</v>
      </c>
      <c r="E24" s="468">
        <f>F7</f>
        <v>0</v>
      </c>
      <c r="F24" s="468">
        <f>L7</f>
        <v>0</v>
      </c>
      <c r="G24" s="108">
        <f>設計条件!AB3000</f>
        <v>0</v>
      </c>
      <c r="H24" s="111">
        <f>設計条件!AC3000*0.001</f>
        <v>0</v>
      </c>
      <c r="I24" s="108">
        <f>設計条件!$Y$3000</f>
        <v>0</v>
      </c>
      <c r="J24" s="471">
        <f>F12</f>
        <v>0</v>
      </c>
      <c r="K24" s="28"/>
      <c r="L24" s="28" t="s">
        <v>56</v>
      </c>
      <c r="M24" s="346" t="e">
        <f>SUM(E24*F24)*(G24/H24)*(I24-J24)/(1000)</f>
        <v>#DIV/0!</v>
      </c>
      <c r="N24" s="30"/>
      <c r="O24" s="26"/>
      <c r="P24" s="141"/>
    </row>
    <row r="25" spans="1:24" ht="12.95" customHeight="1" x14ac:dyDescent="0.15">
      <c r="A25" s="20"/>
      <c r="B25" s="24"/>
      <c r="C25" s="24"/>
      <c r="D25" s="41" t="e">
        <f>INDEX(設計資料!$B$45:$E$52,MATCH( H24,設計資料!$A$45:$A$52,0 ),MATCH(G24,設計資料!$B$44:$E$44,0 ))</f>
        <v>#N/A</v>
      </c>
      <c r="E25" s="43"/>
      <c r="F25" s="28"/>
      <c r="G25" s="28"/>
      <c r="H25" s="28"/>
      <c r="I25" s="28"/>
      <c r="J25" s="42"/>
      <c r="K25" s="28"/>
      <c r="L25" s="44"/>
      <c r="M25" s="44"/>
      <c r="N25" s="44"/>
      <c r="O25" s="26"/>
      <c r="P25" s="27"/>
    </row>
    <row r="26" spans="1:24" ht="12.95" customHeight="1" x14ac:dyDescent="0.15">
      <c r="A26" s="20"/>
      <c r="B26" s="24"/>
      <c r="C26" s="28">
        <v>5</v>
      </c>
      <c r="D26" s="29" t="str">
        <f>設計条件!Z5</f>
        <v>壁-南</v>
      </c>
      <c r="E26" s="468">
        <f>I7</f>
        <v>0</v>
      </c>
      <c r="F26" s="468">
        <f>L7</f>
        <v>0</v>
      </c>
      <c r="G26" s="108">
        <f>設計条件!AB3000</f>
        <v>0</v>
      </c>
      <c r="H26" s="111">
        <f>設計条件!AC3000*0.001</f>
        <v>0</v>
      </c>
      <c r="I26" s="108">
        <f>設計条件!$Z$3000</f>
        <v>0</v>
      </c>
      <c r="J26" s="471">
        <f>F12</f>
        <v>0</v>
      </c>
      <c r="K26" s="28"/>
      <c r="L26" s="28" t="s">
        <v>56</v>
      </c>
      <c r="M26" s="346" t="e">
        <f>SUM(E26*F26)*(G26/H26)*(I26-J26)/(1000)</f>
        <v>#DIV/0!</v>
      </c>
      <c r="N26" s="30"/>
      <c r="O26" s="26"/>
      <c r="P26" s="141"/>
    </row>
    <row r="27" spans="1:24" ht="12.95" customHeight="1" x14ac:dyDescent="0.15">
      <c r="A27" s="20"/>
      <c r="B27" s="24"/>
      <c r="C27" s="28"/>
      <c r="D27" s="41" t="e">
        <f>INDEX(設計資料!$B$45:$E$52,MATCH( H26,設計資料!$A$45:$A$52,0 ),MATCH(G26,設計資料!$B$44:$E$44,0 ))</f>
        <v>#N/A</v>
      </c>
      <c r="E27" s="28"/>
      <c r="F27" s="28"/>
      <c r="G27" s="28"/>
      <c r="H27" s="28"/>
      <c r="I27" s="28"/>
      <c r="J27" s="40"/>
      <c r="K27" s="28"/>
      <c r="L27" s="44"/>
      <c r="M27" s="44"/>
      <c r="N27" s="40"/>
      <c r="O27" s="26"/>
      <c r="P27" s="27"/>
    </row>
    <row r="28" spans="1:24" ht="12.95" customHeight="1" x14ac:dyDescent="0.15">
      <c r="A28" s="20"/>
      <c r="B28" s="21"/>
      <c r="C28" s="28">
        <v>6</v>
      </c>
      <c r="D28" s="29" t="str">
        <f>設計条件!AA5</f>
        <v>床</v>
      </c>
      <c r="E28" s="468">
        <f>F7</f>
        <v>0</v>
      </c>
      <c r="F28" s="468">
        <f>I7</f>
        <v>0</v>
      </c>
      <c r="G28" s="108">
        <f>設計条件!AF3000</f>
        <v>0</v>
      </c>
      <c r="H28" s="111">
        <f>設計条件!AG3000*0.001</f>
        <v>0</v>
      </c>
      <c r="I28" s="108">
        <f>設計条件!AA3000</f>
        <v>0</v>
      </c>
      <c r="J28" s="471">
        <f>F12</f>
        <v>0</v>
      </c>
      <c r="K28" s="28"/>
      <c r="L28" s="28" t="s">
        <v>56</v>
      </c>
      <c r="M28" s="346" t="e">
        <f>SUM(E28*F28)*(G28/H28)*(I28-J28)/(1000)</f>
        <v>#DIV/0!</v>
      </c>
      <c r="N28" s="30"/>
      <c r="O28" s="46"/>
      <c r="P28" s="141" t="s">
        <v>9</v>
      </c>
    </row>
    <row r="29" spans="1:24" ht="12.95" customHeight="1" x14ac:dyDescent="0.15">
      <c r="A29" s="20"/>
      <c r="B29" s="21"/>
      <c r="C29" s="24"/>
      <c r="D29" s="34" t="e">
        <f>INDEX(設計資料!$B$45:$E$52,MATCH( H28,設計資料!$A$45:$A$52,0 ),MATCH(G28,設計資料!$B$44:$E$44,0 ))</f>
        <v>#N/A</v>
      </c>
      <c r="E29" s="28"/>
      <c r="F29" s="28"/>
      <c r="G29" s="28"/>
      <c r="H29" s="42"/>
      <c r="I29" s="28"/>
      <c r="J29" s="39"/>
      <c r="K29" s="28"/>
      <c r="L29" s="28"/>
      <c r="M29" s="42"/>
      <c r="N29" s="30"/>
      <c r="O29" s="46"/>
      <c r="P29" s="27"/>
    </row>
    <row r="30" spans="1:24" ht="12.95" customHeight="1" x14ac:dyDescent="0.15">
      <c r="A30" s="20"/>
      <c r="B30" s="21"/>
      <c r="C30" s="24"/>
      <c r="D30" s="29"/>
      <c r="E30" s="28"/>
      <c r="F30" s="28"/>
      <c r="G30" s="28"/>
      <c r="H30" s="42"/>
      <c r="I30" s="28"/>
      <c r="J30" s="39"/>
      <c r="K30" s="28"/>
      <c r="L30" s="28"/>
      <c r="M30" s="42"/>
      <c r="N30" s="347">
        <f>IFERROR(SUM(M28,M26,M24,M22,M20,M18),0)</f>
        <v>0</v>
      </c>
      <c r="O30" s="46" t="s">
        <v>57</v>
      </c>
      <c r="P30" s="27"/>
    </row>
    <row r="31" spans="1:24" ht="5.0999999999999996" customHeight="1" x14ac:dyDescent="0.15">
      <c r="A31" s="20"/>
      <c r="B31" s="21"/>
      <c r="C31" s="24"/>
      <c r="D31" s="45"/>
      <c r="E31" s="40"/>
      <c r="F31" s="28"/>
      <c r="G31" s="42"/>
      <c r="H31" s="28"/>
      <c r="I31" s="47"/>
      <c r="J31" s="28"/>
      <c r="K31" s="48"/>
      <c r="L31" s="28"/>
      <c r="M31" s="40"/>
      <c r="N31" s="44"/>
      <c r="O31" s="26"/>
      <c r="P31" s="27"/>
    </row>
    <row r="32" spans="1:24" ht="12.95" customHeight="1" x14ac:dyDescent="0.15">
      <c r="A32" s="20"/>
      <c r="B32" s="21">
        <v>3</v>
      </c>
      <c r="C32" s="22"/>
      <c r="D32" s="23" t="s">
        <v>58</v>
      </c>
      <c r="E32" s="24"/>
      <c r="F32" s="410"/>
      <c r="G32" s="411"/>
      <c r="H32" s="411"/>
      <c r="I32" s="411"/>
      <c r="J32" s="412"/>
      <c r="K32" s="23"/>
      <c r="L32" s="24"/>
      <c r="M32" s="25"/>
      <c r="N32" s="25"/>
      <c r="O32" s="26"/>
      <c r="P32" s="27"/>
    </row>
    <row r="33" spans="1:26" ht="12.95" customHeight="1" x14ac:dyDescent="0.15">
      <c r="A33" s="20"/>
      <c r="B33" s="21"/>
      <c r="C33" s="22"/>
      <c r="D33" s="23"/>
      <c r="E33" s="24"/>
      <c r="F33" s="181"/>
      <c r="G33" s="182"/>
      <c r="H33" s="182"/>
      <c r="I33" s="182"/>
      <c r="J33" s="183"/>
      <c r="K33" s="23"/>
      <c r="L33" s="24"/>
      <c r="M33" s="128"/>
      <c r="N33" s="128"/>
      <c r="O33" s="128"/>
      <c r="P33" s="27"/>
    </row>
    <row r="34" spans="1:26" ht="12.95" customHeight="1" x14ac:dyDescent="0.15">
      <c r="A34" s="20"/>
      <c r="B34" s="21"/>
      <c r="C34" s="22"/>
      <c r="D34" s="30" t="s">
        <v>59</v>
      </c>
      <c r="E34" s="30" t="s">
        <v>60</v>
      </c>
      <c r="F34" s="115">
        <f>設計条件!AJ3000</f>
        <v>0</v>
      </c>
      <c r="G34" s="30" t="s">
        <v>18</v>
      </c>
      <c r="H34" s="30" t="s">
        <v>61</v>
      </c>
      <c r="I34" s="143">
        <f>設計条件!AK3000</f>
        <v>0</v>
      </c>
      <c r="J34" s="30" t="s">
        <v>62</v>
      </c>
      <c r="K34" s="118">
        <f>SUM(I34)/3600</f>
        <v>0</v>
      </c>
      <c r="L34" s="30" t="s">
        <v>63</v>
      </c>
      <c r="M34" s="127"/>
      <c r="N34" s="128"/>
      <c r="O34" s="128"/>
      <c r="P34" s="27"/>
    </row>
    <row r="35" spans="1:26" ht="12.95" customHeight="1" x14ac:dyDescent="0.15">
      <c r="A35" s="20"/>
      <c r="B35" s="21"/>
      <c r="C35" s="22"/>
      <c r="D35" s="30" t="s">
        <v>64</v>
      </c>
      <c r="E35" s="30" t="s">
        <v>65</v>
      </c>
      <c r="F35" s="470">
        <f>設計条件!AH3000</f>
        <v>0</v>
      </c>
      <c r="G35" s="28"/>
      <c r="H35" s="30" t="s">
        <v>66</v>
      </c>
      <c r="I35" s="470">
        <f>設計条件!AI3000</f>
        <v>0</v>
      </c>
      <c r="J35" s="28"/>
      <c r="K35" s="30" t="s">
        <v>153</v>
      </c>
      <c r="L35" s="56">
        <v>1</v>
      </c>
      <c r="M35" s="30" t="s">
        <v>154</v>
      </c>
      <c r="N35" s="128"/>
      <c r="O35" s="128"/>
      <c r="P35" s="27"/>
    </row>
    <row r="36" spans="1:26" ht="12.95" customHeight="1" x14ac:dyDescent="0.15">
      <c r="A36" s="20"/>
      <c r="B36" s="21"/>
      <c r="C36" s="22"/>
      <c r="D36" s="30" t="s">
        <v>67</v>
      </c>
      <c r="E36" s="28"/>
      <c r="F36" s="110">
        <f>設計条件!AL3000</f>
        <v>0</v>
      </c>
      <c r="G36" s="30" t="s">
        <v>68</v>
      </c>
      <c r="H36" s="125"/>
      <c r="I36" s="126"/>
      <c r="J36" s="125"/>
      <c r="K36" s="126"/>
      <c r="L36" s="125"/>
      <c r="M36" s="127"/>
      <c r="N36" s="128"/>
      <c r="O36" s="128"/>
      <c r="P36" s="27"/>
    </row>
    <row r="37" spans="1:26" ht="12.95" customHeight="1" x14ac:dyDescent="0.15">
      <c r="A37" s="20"/>
      <c r="B37" s="21"/>
      <c r="C37" s="22"/>
      <c r="D37" s="30" t="s">
        <v>145</v>
      </c>
      <c r="E37" s="115">
        <f>F34</f>
        <v>0</v>
      </c>
      <c r="F37" s="116">
        <f>K34</f>
        <v>0</v>
      </c>
      <c r="G37" s="114">
        <f>SUM(F35*I35)</f>
        <v>0</v>
      </c>
      <c r="H37" s="108">
        <f>F36</f>
        <v>0</v>
      </c>
      <c r="I37" s="108">
        <f>L35</f>
        <v>1</v>
      </c>
      <c r="J37" s="28"/>
      <c r="L37" s="108">
        <f>E37*F37*G37*H37*I37</f>
        <v>0</v>
      </c>
      <c r="M37" s="30" t="s">
        <v>50</v>
      </c>
      <c r="N37" s="128"/>
      <c r="O37" s="128"/>
      <c r="P37" s="27"/>
    </row>
    <row r="38" spans="1:26" ht="12.95" customHeight="1" x14ac:dyDescent="0.15">
      <c r="A38" s="20"/>
      <c r="B38" s="21"/>
      <c r="C38" s="22"/>
      <c r="D38" s="21"/>
      <c r="E38" s="407" t="s">
        <v>69</v>
      </c>
      <c r="F38" s="408"/>
      <c r="G38" s="408"/>
      <c r="H38" s="408"/>
      <c r="I38" s="408"/>
      <c r="J38" s="408"/>
      <c r="K38" s="408"/>
      <c r="L38" s="408"/>
      <c r="M38" s="408"/>
      <c r="N38" s="408"/>
      <c r="O38" s="408"/>
      <c r="P38" s="27"/>
    </row>
    <row r="39" spans="1:26" ht="12.95" customHeight="1" x14ac:dyDescent="0.15">
      <c r="A39" s="20"/>
      <c r="B39" s="21"/>
      <c r="C39" s="22"/>
      <c r="D39" s="21"/>
      <c r="E39" s="30" t="s">
        <v>70</v>
      </c>
      <c r="F39" s="38" t="s">
        <v>73</v>
      </c>
      <c r="G39" s="38" t="s">
        <v>73</v>
      </c>
      <c r="H39" s="30" t="s">
        <v>39</v>
      </c>
      <c r="I39" s="51"/>
      <c r="J39" s="51"/>
      <c r="K39" s="51"/>
      <c r="L39" s="51"/>
      <c r="M39" s="51"/>
      <c r="N39" s="51"/>
      <c r="O39" s="51"/>
      <c r="P39" s="27"/>
    </row>
    <row r="40" spans="1:26" ht="12.95" customHeight="1" x14ac:dyDescent="0.15">
      <c r="A40" s="20"/>
      <c r="B40" s="21"/>
      <c r="C40" s="22"/>
      <c r="D40" s="30" t="s">
        <v>145</v>
      </c>
      <c r="E40" s="111">
        <f>L37</f>
        <v>0</v>
      </c>
      <c r="F40" s="113">
        <f>L6</f>
        <v>0</v>
      </c>
      <c r="G40" s="113">
        <f>L12</f>
        <v>0</v>
      </c>
      <c r="H40" s="113">
        <f>O6</f>
        <v>0</v>
      </c>
      <c r="I40" s="30"/>
      <c r="J40" s="23"/>
      <c r="K40" s="28"/>
      <c r="L40" s="24"/>
      <c r="M40" s="28"/>
      <c r="N40" s="348">
        <f>IFERROR(SUM(E40)*(F40-G40)*H40,0)</f>
        <v>0</v>
      </c>
      <c r="O40" s="46" t="s">
        <v>90</v>
      </c>
      <c r="P40" s="27"/>
    </row>
    <row r="41" spans="1:26" ht="4.5" customHeight="1" x14ac:dyDescent="0.15">
      <c r="A41" s="20"/>
      <c r="B41" s="21"/>
      <c r="C41" s="22"/>
      <c r="D41" s="21"/>
      <c r="E41" s="55"/>
      <c r="F41" s="125"/>
      <c r="G41" s="125"/>
      <c r="H41" s="125"/>
      <c r="I41" s="126"/>
      <c r="J41" s="125"/>
      <c r="K41" s="126"/>
      <c r="L41" s="125"/>
      <c r="M41" s="127"/>
      <c r="N41" s="128"/>
      <c r="O41" s="146"/>
      <c r="P41" s="27"/>
    </row>
    <row r="42" spans="1:26" ht="12.95" customHeight="1" x14ac:dyDescent="0.15">
      <c r="A42" s="20"/>
      <c r="B42" s="21">
        <v>4</v>
      </c>
      <c r="C42" s="22"/>
      <c r="D42" s="28" t="s">
        <v>71</v>
      </c>
      <c r="E42" s="407" t="s">
        <v>72</v>
      </c>
      <c r="F42" s="408"/>
      <c r="G42" s="408"/>
      <c r="H42" s="408"/>
      <c r="I42" s="408"/>
      <c r="J42" s="408"/>
      <c r="K42" s="408"/>
      <c r="L42" s="408"/>
      <c r="M42" s="408"/>
      <c r="N42" s="408"/>
      <c r="O42" s="408"/>
      <c r="P42" s="27"/>
    </row>
    <row r="43" spans="1:26" ht="12.95" customHeight="1" x14ac:dyDescent="0.15">
      <c r="A43" s="20"/>
      <c r="B43" s="24"/>
      <c r="C43" s="24"/>
      <c r="D43" s="30"/>
      <c r="E43" s="30" t="s">
        <v>48</v>
      </c>
      <c r="F43" s="38" t="s">
        <v>73</v>
      </c>
      <c r="G43" s="38" t="s">
        <v>73</v>
      </c>
      <c r="H43" s="30" t="s">
        <v>39</v>
      </c>
      <c r="I43" s="21"/>
      <c r="J43" s="28"/>
      <c r="K43" s="40"/>
      <c r="L43" s="28"/>
      <c r="M43" s="49"/>
      <c r="N43" s="28"/>
      <c r="O43" s="26"/>
      <c r="P43" s="27"/>
      <c r="Q43" s="33"/>
      <c r="R43" s="404"/>
      <c r="S43" s="404"/>
      <c r="T43" s="404"/>
      <c r="U43" s="404"/>
      <c r="V43" s="404"/>
      <c r="W43" s="404"/>
      <c r="X43" s="404"/>
      <c r="Y43" s="404"/>
      <c r="Z43" s="404"/>
    </row>
    <row r="44" spans="1:26" ht="12.95" customHeight="1" x14ac:dyDescent="0.15">
      <c r="A44" s="20"/>
      <c r="B44" s="21"/>
      <c r="C44" s="22"/>
      <c r="D44" s="30"/>
      <c r="E44" s="149">
        <f>F14/3600</f>
        <v>0</v>
      </c>
      <c r="F44" s="113">
        <f>L13</f>
        <v>0</v>
      </c>
      <c r="G44" s="113">
        <f>L12</f>
        <v>0</v>
      </c>
      <c r="H44" s="113">
        <f>O12</f>
        <v>0</v>
      </c>
      <c r="I44" s="30"/>
      <c r="J44" s="28"/>
      <c r="K44" s="28"/>
      <c r="L44" s="24"/>
      <c r="M44" s="28"/>
      <c r="N44" s="348">
        <f>IFERROR(SUM(E44)*(F44-G44)*H44,0)</f>
        <v>0</v>
      </c>
      <c r="O44" s="46" t="s">
        <v>91</v>
      </c>
      <c r="P44" s="27"/>
      <c r="Q44" s="129"/>
    </row>
    <row r="45" spans="1:26" ht="4.9000000000000004" customHeight="1" x14ac:dyDescent="0.15">
      <c r="A45" s="20"/>
      <c r="B45" s="21"/>
      <c r="C45" s="22"/>
      <c r="D45" s="29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27"/>
    </row>
    <row r="46" spans="1:26" ht="12.95" customHeight="1" x14ac:dyDescent="0.15">
      <c r="A46" s="20"/>
      <c r="B46" s="21">
        <v>5</v>
      </c>
      <c r="C46" s="22"/>
      <c r="D46" s="28" t="s">
        <v>74</v>
      </c>
      <c r="E46" s="407" t="s">
        <v>113</v>
      </c>
      <c r="F46" s="408"/>
      <c r="G46" s="408"/>
      <c r="H46" s="408"/>
      <c r="I46" s="408"/>
      <c r="J46" s="408"/>
      <c r="K46" s="408"/>
      <c r="L46" s="408"/>
      <c r="M46" s="408"/>
      <c r="N46" s="408"/>
      <c r="O46" s="408"/>
      <c r="P46" s="27"/>
    </row>
    <row r="47" spans="1:26" ht="12.95" customHeight="1" x14ac:dyDescent="0.15">
      <c r="A47" s="20"/>
      <c r="B47" s="24"/>
      <c r="C47" s="24"/>
      <c r="D47" s="30"/>
      <c r="E47" s="50" t="str">
        <f>D8</f>
        <v>入庫量</v>
      </c>
      <c r="F47" s="30" t="str">
        <f>E9</f>
        <v xml:space="preserve">入温度 </v>
      </c>
      <c r="G47" s="30" t="str">
        <f>H9</f>
        <v>終温度</v>
      </c>
      <c r="H47" s="38" t="s">
        <v>6</v>
      </c>
      <c r="I47" s="30" t="str">
        <f>D11</f>
        <v>冷却時間</v>
      </c>
      <c r="J47" s="28"/>
      <c r="K47" s="28"/>
      <c r="L47" s="24"/>
      <c r="M47" s="28"/>
      <c r="N47" s="40"/>
      <c r="O47" s="46"/>
      <c r="P47" s="27"/>
      <c r="Q47" s="6"/>
      <c r="R47" s="53"/>
    </row>
    <row r="48" spans="1:26" ht="12.95" customHeight="1" x14ac:dyDescent="0.15">
      <c r="A48" s="20"/>
      <c r="B48" s="21"/>
      <c r="C48" s="22"/>
      <c r="D48" s="30" t="s">
        <v>98</v>
      </c>
      <c r="E48" s="145">
        <f>IF(F9&gt;-2,設計条件!Q3000,"-")</f>
        <v>0</v>
      </c>
      <c r="F48" s="108">
        <f>IF(F9&gt;-2,F9,"-")</f>
        <v>0</v>
      </c>
      <c r="G48" s="110">
        <f>IF(I9&gt;-2,I9,IF(F9&gt;-2,-2,"-"))</f>
        <v>0</v>
      </c>
      <c r="H48" s="108">
        <f>F10</f>
        <v>0</v>
      </c>
      <c r="I48" s="108">
        <f>F11</f>
        <v>0</v>
      </c>
      <c r="J48" s="23"/>
      <c r="K48" s="24"/>
      <c r="L48" s="28" t="s">
        <v>56</v>
      </c>
      <c r="M48" s="346">
        <f>IFERROR(E48*(F48-G48)*(H48)*(1/I48)/3600,0)</f>
        <v>0</v>
      </c>
      <c r="N48" s="52"/>
      <c r="O48" s="46"/>
      <c r="P48" s="27"/>
      <c r="Q48" s="129"/>
    </row>
    <row r="49" spans="1:24" ht="12.95" customHeight="1" x14ac:dyDescent="0.15">
      <c r="A49" s="20"/>
      <c r="B49" s="21"/>
      <c r="C49" s="22"/>
      <c r="D49" s="30" t="s">
        <v>107</v>
      </c>
      <c r="E49" s="163" t="str">
        <f>IF(F9&gt;-2,IF(I9&lt;-2,設計条件!Q3000,"-"),"-")</f>
        <v>-</v>
      </c>
      <c r="F49" s="248"/>
      <c r="G49" s="249"/>
      <c r="H49" s="161">
        <f>L10</f>
        <v>0</v>
      </c>
      <c r="I49" s="160">
        <f>F11</f>
        <v>0</v>
      </c>
      <c r="J49" s="28"/>
      <c r="K49" s="24"/>
      <c r="L49" s="28" t="s">
        <v>56</v>
      </c>
      <c r="M49" s="346">
        <f>IFERROR(E49*H49/I49/3600,0)</f>
        <v>0</v>
      </c>
      <c r="N49" s="40"/>
      <c r="O49" s="142"/>
      <c r="P49" s="27"/>
      <c r="Q49" s="6"/>
      <c r="R49" s="53"/>
      <c r="S49" s="53"/>
      <c r="T49" s="53"/>
      <c r="U49" s="53"/>
      <c r="V49" s="53"/>
      <c r="W49" s="53"/>
      <c r="X49" s="53"/>
    </row>
    <row r="50" spans="1:24" ht="12.95" customHeight="1" x14ac:dyDescent="0.15">
      <c r="A50" s="20"/>
      <c r="B50" s="21"/>
      <c r="C50" s="22"/>
      <c r="D50" s="30" t="s">
        <v>99</v>
      </c>
      <c r="E50" s="163" t="str">
        <f>IF(I9&gt;-2,"-",設計条件!Q3000)</f>
        <v>-</v>
      </c>
      <c r="F50" s="162" t="str">
        <f>IF(I9&gt;-2,"-",IF(F9&gt;-2,-2,F9))</f>
        <v>-</v>
      </c>
      <c r="G50" s="162" t="str">
        <f>IF(I9&gt;-2,"-",I9)</f>
        <v>-</v>
      </c>
      <c r="H50" s="160">
        <f>I10</f>
        <v>0</v>
      </c>
      <c r="I50" s="160">
        <f>F11</f>
        <v>0</v>
      </c>
      <c r="J50" s="23"/>
      <c r="K50" s="24"/>
      <c r="L50" s="28" t="s">
        <v>56</v>
      </c>
      <c r="M50" s="346">
        <f>IFERROR(E50*H50*(F50-G50)*(1/3600)*(1/I50),0)</f>
        <v>0</v>
      </c>
      <c r="N50" s="40"/>
      <c r="O50" s="46"/>
      <c r="P50" s="27"/>
    </row>
    <row r="51" spans="1:24" ht="12.95" customHeight="1" x14ac:dyDescent="0.15">
      <c r="A51" s="20"/>
      <c r="B51" s="21"/>
      <c r="C51" s="22"/>
      <c r="D51" s="30"/>
      <c r="E51" s="341"/>
      <c r="F51" s="342"/>
      <c r="G51" s="342"/>
      <c r="H51" s="248"/>
      <c r="I51" s="248"/>
      <c r="J51" s="23"/>
      <c r="K51" s="24"/>
      <c r="L51" s="28"/>
      <c r="M51" s="343"/>
      <c r="N51" s="348">
        <f>IFERROR(SUM(M48:M50),"")</f>
        <v>0</v>
      </c>
      <c r="O51" s="46" t="s">
        <v>92</v>
      </c>
      <c r="P51" s="27"/>
    </row>
    <row r="52" spans="1:24" ht="12.95" customHeight="1" x14ac:dyDescent="0.15">
      <c r="A52" s="20"/>
      <c r="B52" s="21"/>
      <c r="C52" s="22"/>
      <c r="D52" s="30" t="s">
        <v>250</v>
      </c>
      <c r="E52" s="163" t="s">
        <v>98</v>
      </c>
      <c r="F52" s="162" t="s">
        <v>251</v>
      </c>
      <c r="G52" s="162" t="s">
        <v>99</v>
      </c>
      <c r="H52" s="248"/>
      <c r="I52" s="248"/>
      <c r="J52" s="23"/>
      <c r="K52" s="24"/>
      <c r="L52" s="28"/>
      <c r="M52" s="343"/>
      <c r="N52" s="344"/>
      <c r="O52" s="46"/>
      <c r="P52" s="27"/>
    </row>
    <row r="53" spans="1:24" ht="12.95" customHeight="1" x14ac:dyDescent="0.15">
      <c r="A53" s="20"/>
      <c r="B53" s="21"/>
      <c r="C53" s="22"/>
      <c r="E53" s="163">
        <f>H48*(F48-G48)</f>
        <v>0</v>
      </c>
      <c r="F53" s="162">
        <f>H49</f>
        <v>0</v>
      </c>
      <c r="G53" s="162" t="e">
        <f>H50*(F50-G50)</f>
        <v>#VALUE!</v>
      </c>
      <c r="H53" s="248"/>
      <c r="I53" s="248"/>
      <c r="J53" s="23"/>
      <c r="K53" s="24"/>
      <c r="L53" s="28" t="s">
        <v>252</v>
      </c>
      <c r="M53" s="108" t="e">
        <f>E53+F53+G53</f>
        <v>#VALUE!</v>
      </c>
      <c r="N53" s="40" t="s">
        <v>253</v>
      </c>
      <c r="O53" s="46"/>
      <c r="P53" s="27"/>
    </row>
    <row r="54" spans="1:24" ht="12.95" customHeight="1" x14ac:dyDescent="0.15">
      <c r="A54" s="20"/>
      <c r="B54" s="21"/>
      <c r="C54" s="22"/>
      <c r="D54" s="30"/>
      <c r="E54" s="345"/>
      <c r="F54" s="342"/>
      <c r="G54" s="342"/>
      <c r="H54" s="248"/>
      <c r="I54" s="248"/>
      <c r="J54" s="23"/>
      <c r="K54" s="24"/>
      <c r="L54" s="28"/>
      <c r="M54" s="113" t="e">
        <f>M53/4.2</f>
        <v>#VALUE!</v>
      </c>
      <c r="N54" s="40" t="s">
        <v>254</v>
      </c>
      <c r="O54" s="46"/>
      <c r="P54" s="27"/>
    </row>
    <row r="55" spans="1:24" ht="12.95" customHeight="1" x14ac:dyDescent="0.15">
      <c r="A55" s="20"/>
      <c r="B55" s="21"/>
      <c r="C55" s="22"/>
      <c r="D55" s="30"/>
      <c r="E55" s="25"/>
      <c r="F55" s="28"/>
      <c r="G55" s="40"/>
      <c r="H55" s="28"/>
      <c r="I55" s="28"/>
      <c r="J55" s="24"/>
      <c r="K55" s="24"/>
      <c r="L55" s="24"/>
      <c r="M55" s="28"/>
      <c r="N55" s="25"/>
      <c r="P55" s="27"/>
    </row>
    <row r="56" spans="1:24" ht="5.0999999999999996" customHeight="1" x14ac:dyDescent="0.15">
      <c r="A56" s="20"/>
      <c r="B56" s="24"/>
      <c r="C56" s="24"/>
      <c r="D56" s="28"/>
      <c r="E56" s="28"/>
      <c r="F56" s="28"/>
      <c r="G56" s="28"/>
      <c r="H56" s="28"/>
      <c r="I56" s="21"/>
      <c r="J56" s="28"/>
      <c r="K56" s="21"/>
      <c r="L56" s="28"/>
      <c r="M56" s="40"/>
      <c r="N56" s="25"/>
      <c r="O56" s="26"/>
      <c r="P56" s="27"/>
    </row>
    <row r="57" spans="1:24" ht="12.95" customHeight="1" x14ac:dyDescent="0.15">
      <c r="A57" s="20"/>
      <c r="B57" s="21">
        <v>6</v>
      </c>
      <c r="C57" s="22"/>
      <c r="D57" s="28" t="s">
        <v>75</v>
      </c>
      <c r="E57" s="24"/>
      <c r="F57" s="24"/>
      <c r="G57" s="24"/>
      <c r="H57" s="24"/>
      <c r="I57" s="24"/>
      <c r="J57" s="24"/>
      <c r="K57" s="24"/>
      <c r="L57" s="24"/>
      <c r="M57" s="25"/>
      <c r="N57" s="25"/>
      <c r="O57" s="26"/>
      <c r="P57" s="27"/>
    </row>
    <row r="58" spans="1:24" ht="12.95" customHeight="1" x14ac:dyDescent="0.15">
      <c r="A58" s="20"/>
      <c r="B58" s="24"/>
      <c r="C58" s="24"/>
      <c r="D58" s="30" t="s">
        <v>76</v>
      </c>
      <c r="E58" s="30" t="s">
        <v>77</v>
      </c>
      <c r="F58" s="30"/>
      <c r="G58" s="30" t="s">
        <v>78</v>
      </c>
      <c r="H58" s="30"/>
      <c r="I58" s="30" t="s">
        <v>79</v>
      </c>
      <c r="J58" s="30"/>
      <c r="K58" s="30"/>
      <c r="L58" s="28"/>
      <c r="M58" s="40"/>
      <c r="N58" s="25"/>
      <c r="O58" s="26"/>
      <c r="P58" s="27"/>
    </row>
    <row r="59" spans="1:24" ht="12.95" customHeight="1" x14ac:dyDescent="0.15">
      <c r="A59" s="20"/>
      <c r="B59" s="24"/>
      <c r="C59" s="24"/>
      <c r="D59" s="30" t="s">
        <v>80</v>
      </c>
      <c r="E59" s="56">
        <v>4.7E-2</v>
      </c>
      <c r="F59" s="28" t="s">
        <v>81</v>
      </c>
      <c r="G59" s="56">
        <v>0</v>
      </c>
      <c r="H59" s="28" t="s">
        <v>81</v>
      </c>
      <c r="I59" s="56">
        <v>1</v>
      </c>
      <c r="J59" s="28" t="s">
        <v>56</v>
      </c>
      <c r="K59" s="346">
        <f>SUM(E59*G59*I59)</f>
        <v>0</v>
      </c>
      <c r="L59" s="28"/>
      <c r="M59" s="130"/>
      <c r="N59" s="54"/>
      <c r="O59" s="55"/>
      <c r="P59" s="27"/>
      <c r="Q59" s="6"/>
      <c r="R59" s="53"/>
    </row>
    <row r="60" spans="1:24" ht="12.95" customHeight="1" x14ac:dyDescent="0.15">
      <c r="A60" s="20"/>
      <c r="B60" s="24"/>
      <c r="C60" s="24"/>
      <c r="D60" s="30" t="s">
        <v>144</v>
      </c>
      <c r="E60" s="56">
        <v>0.6</v>
      </c>
      <c r="F60" s="28" t="s">
        <v>81</v>
      </c>
      <c r="G60" s="56">
        <v>0</v>
      </c>
      <c r="H60" s="28" t="s">
        <v>81</v>
      </c>
      <c r="I60" s="56">
        <v>0.8</v>
      </c>
      <c r="J60" s="28" t="s">
        <v>56</v>
      </c>
      <c r="K60" s="346">
        <f>SUM(E60*G60*I60)</f>
        <v>0</v>
      </c>
      <c r="L60" s="28"/>
      <c r="M60" s="28"/>
      <c r="N60" s="25"/>
      <c r="O60" s="26"/>
      <c r="P60" s="27"/>
    </row>
    <row r="61" spans="1:24" ht="12.95" customHeight="1" x14ac:dyDescent="0.15">
      <c r="A61" s="20"/>
      <c r="B61" s="24"/>
      <c r="C61" s="24"/>
      <c r="D61" s="30" t="s">
        <v>82</v>
      </c>
      <c r="E61" s="56">
        <v>5.6</v>
      </c>
      <c r="F61" s="28" t="s">
        <v>81</v>
      </c>
      <c r="G61" s="56">
        <v>0</v>
      </c>
      <c r="H61" s="28" t="s">
        <v>81</v>
      </c>
      <c r="I61" s="56">
        <v>0.5</v>
      </c>
      <c r="J61" s="28" t="s">
        <v>56</v>
      </c>
      <c r="K61" s="346">
        <f>SUM(E61*G61*I61)</f>
        <v>0</v>
      </c>
      <c r="L61" s="28"/>
      <c r="M61" s="28"/>
      <c r="N61" s="348">
        <f>SUM(K59:K61)</f>
        <v>0</v>
      </c>
      <c r="O61" s="55" t="s">
        <v>93</v>
      </c>
      <c r="P61" s="27"/>
    </row>
    <row r="62" spans="1:24" ht="5.0999999999999996" customHeight="1" x14ac:dyDescent="0.15">
      <c r="A62" s="20"/>
      <c r="B62" s="24"/>
      <c r="C62" s="24"/>
      <c r="D62" s="24"/>
      <c r="E62" s="40"/>
      <c r="F62" s="28"/>
      <c r="G62" s="28"/>
      <c r="H62" s="30"/>
      <c r="I62" s="24"/>
      <c r="J62" s="24"/>
      <c r="K62" s="24"/>
      <c r="L62" s="24"/>
      <c r="M62" s="28"/>
      <c r="N62" s="40"/>
      <c r="O62" s="55"/>
      <c r="P62" s="27"/>
    </row>
    <row r="63" spans="1:24" ht="12.95" customHeight="1" x14ac:dyDescent="0.15">
      <c r="A63" s="20"/>
      <c r="B63" s="21">
        <v>7</v>
      </c>
      <c r="C63" s="22"/>
      <c r="D63" s="28" t="s">
        <v>83</v>
      </c>
      <c r="E63" s="40"/>
      <c r="F63" s="28"/>
      <c r="G63" s="28"/>
      <c r="H63" s="28"/>
      <c r="I63" s="28"/>
      <c r="J63" s="28"/>
      <c r="K63" s="40"/>
      <c r="L63" s="28"/>
      <c r="M63" s="40"/>
      <c r="N63" s="25"/>
      <c r="O63" s="55"/>
      <c r="P63" s="27"/>
    </row>
    <row r="64" spans="1:24" ht="12.95" customHeight="1" x14ac:dyDescent="0.15">
      <c r="A64" s="20"/>
      <c r="B64" s="24"/>
      <c r="C64" s="24"/>
      <c r="D64" s="30"/>
      <c r="E64" s="50" t="s">
        <v>84</v>
      </c>
      <c r="F64" s="30"/>
      <c r="G64" s="30" t="s">
        <v>85</v>
      </c>
      <c r="H64" s="30"/>
      <c r="I64" s="30"/>
      <c r="J64" s="28"/>
      <c r="K64" s="28"/>
      <c r="L64" s="24"/>
      <c r="M64" s="28"/>
      <c r="N64" s="40"/>
      <c r="O64" s="55"/>
      <c r="P64" s="27"/>
    </row>
    <row r="65" spans="1:16" ht="15.95" customHeight="1" x14ac:dyDescent="0.15">
      <c r="A65" s="20"/>
      <c r="B65" s="24"/>
      <c r="C65" s="24"/>
      <c r="D65" s="30" t="s">
        <v>87</v>
      </c>
      <c r="E65" s="113">
        <v>0.28000000000000003</v>
      </c>
      <c r="F65" s="28" t="s">
        <v>81</v>
      </c>
      <c r="G65" s="113">
        <f>設計条件!AW3000</f>
        <v>0</v>
      </c>
      <c r="H65" s="30"/>
      <c r="I65" s="131"/>
      <c r="J65" s="24"/>
      <c r="K65" s="24"/>
      <c r="L65" s="24"/>
      <c r="M65" s="28"/>
      <c r="N65" s="348">
        <f>SUM(E65*G65)</f>
        <v>0</v>
      </c>
      <c r="O65" s="55" t="s">
        <v>88</v>
      </c>
      <c r="P65" s="27"/>
    </row>
    <row r="66" spans="1:16" ht="5.0999999999999996" customHeight="1" x14ac:dyDescent="0.15">
      <c r="A66" s="20"/>
      <c r="B66" s="21"/>
      <c r="C66" s="22"/>
      <c r="D66" s="21"/>
      <c r="E66" s="40"/>
      <c r="F66" s="28"/>
      <c r="G66" s="28"/>
      <c r="H66" s="28"/>
      <c r="I66" s="28"/>
      <c r="J66" s="28"/>
      <c r="K66" s="40"/>
      <c r="L66" s="28"/>
      <c r="M66" s="40"/>
      <c r="N66" s="25"/>
      <c r="O66" s="26"/>
      <c r="P66" s="27"/>
    </row>
    <row r="67" spans="1:16" ht="15.95" customHeight="1" x14ac:dyDescent="0.15">
      <c r="A67" s="20"/>
      <c r="B67" s="21">
        <v>8</v>
      </c>
      <c r="C67" s="22"/>
      <c r="D67" s="28" t="s">
        <v>89</v>
      </c>
      <c r="E67" s="40" t="s">
        <v>57</v>
      </c>
      <c r="F67" s="28" t="s">
        <v>90</v>
      </c>
      <c r="G67" s="28" t="s">
        <v>91</v>
      </c>
      <c r="H67" s="28" t="s">
        <v>92</v>
      </c>
      <c r="I67" s="28" t="s">
        <v>93</v>
      </c>
      <c r="J67" s="28" t="s">
        <v>88</v>
      </c>
      <c r="K67" s="57"/>
      <c r="L67" s="30"/>
      <c r="M67" s="57"/>
      <c r="N67" s="54" t="s">
        <v>27</v>
      </c>
      <c r="O67" s="26"/>
      <c r="P67" s="133" t="s">
        <v>140</v>
      </c>
    </row>
    <row r="68" spans="1:16" ht="15.95" customHeight="1" x14ac:dyDescent="0.15">
      <c r="A68" s="20"/>
      <c r="B68" s="24"/>
      <c r="C68" s="24"/>
      <c r="D68" s="24"/>
      <c r="E68" s="113">
        <f>N30</f>
        <v>0</v>
      </c>
      <c r="F68" s="119">
        <f>N40</f>
        <v>0</v>
      </c>
      <c r="G68" s="132">
        <f>N44</f>
        <v>0</v>
      </c>
      <c r="H68" s="132">
        <f>N51</f>
        <v>0</v>
      </c>
      <c r="I68" s="113">
        <f>N61</f>
        <v>0</v>
      </c>
      <c r="J68" s="113">
        <f>N65</f>
        <v>0</v>
      </c>
      <c r="K68" s="40"/>
      <c r="L68" s="40"/>
      <c r="M68" s="40"/>
      <c r="N68" s="57">
        <f>設計条件!AX3000</f>
        <v>0</v>
      </c>
      <c r="O68" s="36" t="s">
        <v>56</v>
      </c>
      <c r="P68" s="250">
        <f>IFERROR(SUM(E68:M68)*N68,0)</f>
        <v>0</v>
      </c>
    </row>
    <row r="69" spans="1:16" ht="15.95" customHeight="1" x14ac:dyDescent="0.15">
      <c r="A69" s="136"/>
      <c r="B69" s="137"/>
      <c r="C69" s="137"/>
      <c r="D69" s="137"/>
      <c r="E69" s="24"/>
      <c r="F69" s="24"/>
      <c r="G69" s="24"/>
      <c r="H69" s="24"/>
      <c r="I69" s="134"/>
      <c r="J69" s="24"/>
      <c r="K69" s="24"/>
      <c r="L69" s="24"/>
      <c r="M69" s="138"/>
      <c r="N69" s="139"/>
      <c r="O69" s="147" t="e">
        <f>P68*860/設計条件!L3000</f>
        <v>#DIV/0!</v>
      </c>
      <c r="P69" s="357" t="s">
        <v>141</v>
      </c>
    </row>
    <row r="70" spans="1:16" ht="4.5" customHeight="1" x14ac:dyDescent="0.15">
      <c r="A70" s="136"/>
      <c r="B70" s="24"/>
      <c r="C70" s="24"/>
      <c r="D70" s="24"/>
      <c r="E70" s="24"/>
      <c r="F70" s="24"/>
      <c r="G70" s="24"/>
      <c r="H70" s="24"/>
      <c r="I70" s="134"/>
      <c r="J70" s="24"/>
      <c r="K70" s="24"/>
      <c r="L70" s="24"/>
      <c r="M70" s="25"/>
      <c r="N70" s="52"/>
      <c r="O70" s="55"/>
      <c r="P70" s="27"/>
    </row>
    <row r="71" spans="1:16" ht="15.95" customHeight="1" x14ac:dyDescent="0.15">
      <c r="A71" s="58"/>
      <c r="B71" s="58"/>
      <c r="C71" s="58"/>
      <c r="D71" s="151"/>
      <c r="E71" s="58"/>
      <c r="F71" s="58"/>
      <c r="G71" s="58"/>
      <c r="H71" s="152"/>
      <c r="I71" s="58"/>
      <c r="J71" s="58"/>
      <c r="K71" s="58"/>
      <c r="L71" s="58"/>
      <c r="N71" s="153"/>
      <c r="O71" s="59"/>
    </row>
    <row r="72" spans="1:16" ht="15.95" customHeight="1" x14ac:dyDescent="0.15">
      <c r="A72" s="58"/>
      <c r="B72" s="58"/>
      <c r="C72" s="58"/>
      <c r="I72" s="58"/>
      <c r="K72" s="58"/>
      <c r="N72" s="153"/>
      <c r="O72" s="58"/>
    </row>
    <row r="73" spans="1:16" ht="15.95" customHeight="1" x14ac:dyDescent="0.15">
      <c r="A73" s="58"/>
      <c r="B73" s="177"/>
      <c r="C73" s="58"/>
      <c r="D73" s="405"/>
      <c r="E73" s="405"/>
      <c r="F73" s="122"/>
      <c r="I73" s="155"/>
      <c r="J73" s="122"/>
      <c r="K73" s="155"/>
      <c r="L73" s="155"/>
      <c r="M73" s="122"/>
      <c r="N73" s="176"/>
      <c r="O73" s="155"/>
    </row>
    <row r="74" spans="1:16" ht="15.95" customHeight="1" x14ac:dyDescent="0.15">
      <c r="A74" s="58"/>
      <c r="C74" s="58"/>
      <c r="D74" s="406"/>
      <c r="E74" s="406"/>
      <c r="F74" s="155"/>
      <c r="G74" s="155"/>
      <c r="I74" s="155"/>
      <c r="J74" s="155"/>
      <c r="K74" s="155"/>
      <c r="L74" s="155"/>
      <c r="M74" s="122"/>
      <c r="N74" s="176"/>
      <c r="O74" s="155"/>
    </row>
    <row r="75" spans="1:16" ht="15.95" customHeight="1" x14ac:dyDescent="0.15">
      <c r="A75" s="58"/>
      <c r="B75" s="177"/>
      <c r="C75" s="58"/>
      <c r="D75" s="155"/>
      <c r="E75" s="155"/>
      <c r="F75" s="155"/>
      <c r="G75" s="155"/>
      <c r="I75" s="155"/>
      <c r="J75" s="122"/>
      <c r="K75" s="155"/>
      <c r="L75" s="155"/>
      <c r="M75" s="122"/>
      <c r="N75" s="176"/>
      <c r="O75" s="155"/>
    </row>
    <row r="76" spans="1:16" ht="15.95" customHeight="1" x14ac:dyDescent="0.15">
      <c r="A76" s="58"/>
      <c r="B76" s="58"/>
      <c r="C76" s="58"/>
      <c r="D76" s="58"/>
      <c r="E76" s="155"/>
      <c r="F76" s="58"/>
      <c r="G76" s="58"/>
      <c r="I76" s="58"/>
      <c r="J76" s="154"/>
      <c r="K76" s="58"/>
      <c r="L76" s="58"/>
      <c r="N76" s="153"/>
      <c r="O76" s="59"/>
    </row>
    <row r="77" spans="1:16" ht="15.95" customHeight="1" x14ac:dyDescent="0.15">
      <c r="A77" s="58"/>
      <c r="B77" s="58"/>
      <c r="C77" s="58"/>
      <c r="D77" s="58"/>
      <c r="E77" s="154"/>
      <c r="F77" s="58"/>
      <c r="G77" s="58"/>
      <c r="H77" s="58"/>
      <c r="I77" s="154"/>
      <c r="J77" s="58"/>
      <c r="K77" s="58"/>
      <c r="L77" s="58"/>
      <c r="N77" s="153"/>
      <c r="O77" s="59"/>
    </row>
    <row r="78" spans="1:16" ht="15.95" customHeight="1" x14ac:dyDescent="0.15">
      <c r="A78" s="58"/>
      <c r="B78" s="58"/>
      <c r="C78" s="58"/>
      <c r="D78" s="58"/>
      <c r="E78" s="155"/>
      <c r="F78" s="58"/>
      <c r="G78" s="58"/>
      <c r="H78" s="58"/>
      <c r="I78" s="154"/>
      <c r="J78" s="58"/>
      <c r="K78" s="58"/>
      <c r="L78" s="58"/>
      <c r="N78" s="153"/>
      <c r="O78" s="59"/>
    </row>
    <row r="79" spans="1:16" ht="15.95" customHeight="1" x14ac:dyDescent="0.15">
      <c r="A79" s="58"/>
      <c r="B79" s="58"/>
      <c r="C79" s="58"/>
      <c r="D79" s="58"/>
      <c r="E79" s="155"/>
      <c r="F79" s="58"/>
      <c r="G79" s="58"/>
      <c r="H79" s="58"/>
      <c r="I79" s="154"/>
      <c r="J79" s="58"/>
      <c r="K79" s="58"/>
      <c r="L79" s="58"/>
      <c r="N79" s="153"/>
      <c r="O79" s="59"/>
    </row>
    <row r="80" spans="1:16" ht="15.95" customHeight="1" x14ac:dyDescent="0.15">
      <c r="A80" s="58"/>
      <c r="B80" s="58"/>
      <c r="C80" s="58"/>
      <c r="D80" s="58"/>
      <c r="E80" s="58"/>
      <c r="F80" s="58"/>
      <c r="G80" s="58"/>
      <c r="H80" s="58"/>
      <c r="I80" s="154"/>
      <c r="J80" s="58"/>
      <c r="K80" s="58"/>
      <c r="L80" s="58"/>
      <c r="N80" s="153"/>
      <c r="O80" s="59"/>
    </row>
    <row r="81" spans="1:15" ht="15.95" customHeight="1" x14ac:dyDescent="0.15">
      <c r="A81" s="58"/>
      <c r="B81" s="58"/>
      <c r="C81" s="58"/>
      <c r="D81" s="58"/>
      <c r="E81" s="154"/>
      <c r="F81" s="58"/>
      <c r="G81" s="58"/>
      <c r="H81" s="58"/>
      <c r="I81" s="154"/>
      <c r="J81" s="58"/>
      <c r="K81" s="58"/>
      <c r="L81" s="58"/>
      <c r="N81" s="153"/>
      <c r="O81" s="59"/>
    </row>
    <row r="82" spans="1:15" ht="15.95" customHeight="1" x14ac:dyDescent="0.15">
      <c r="A82" s="58"/>
      <c r="B82" s="58"/>
      <c r="C82" s="58"/>
      <c r="D82" s="58"/>
      <c r="E82" s="155"/>
      <c r="F82" s="58"/>
      <c r="G82" s="58"/>
      <c r="H82" s="58"/>
      <c r="I82" s="154"/>
      <c r="J82" s="58"/>
      <c r="K82" s="58"/>
      <c r="L82" s="58"/>
      <c r="N82" s="153"/>
      <c r="O82" s="59"/>
    </row>
    <row r="83" spans="1:15" ht="15.95" customHeight="1" x14ac:dyDescent="0.15">
      <c r="A83" s="58"/>
      <c r="B83" s="58"/>
      <c r="C83" s="58"/>
      <c r="D83" s="58"/>
      <c r="E83" s="155"/>
      <c r="F83" s="58"/>
      <c r="G83" s="58"/>
      <c r="H83" s="58"/>
      <c r="I83" s="154"/>
      <c r="J83" s="58"/>
      <c r="K83" s="58"/>
      <c r="L83" s="58"/>
      <c r="N83" s="153"/>
      <c r="O83" s="59"/>
    </row>
    <row r="84" spans="1:15" ht="15.95" customHeight="1" x14ac:dyDescent="0.15">
      <c r="A84" s="58"/>
      <c r="B84" s="58"/>
      <c r="C84" s="58"/>
      <c r="D84" s="58"/>
      <c r="E84" s="155"/>
      <c r="F84" s="58"/>
      <c r="G84" s="58"/>
      <c r="H84" s="58"/>
      <c r="I84" s="154"/>
      <c r="J84" s="58"/>
      <c r="K84" s="58"/>
      <c r="L84" s="58"/>
      <c r="N84" s="153"/>
      <c r="O84" s="59"/>
    </row>
    <row r="85" spans="1:15" ht="15.95" customHeight="1" x14ac:dyDescent="0.15">
      <c r="A85" s="58"/>
      <c r="B85" s="58"/>
      <c r="C85" s="58"/>
      <c r="D85" s="58"/>
      <c r="E85" s="58"/>
      <c r="F85" s="58"/>
      <c r="G85" s="58"/>
      <c r="H85" s="58"/>
      <c r="I85" s="154"/>
      <c r="J85" s="58"/>
      <c r="K85" s="58"/>
      <c r="L85" s="58"/>
      <c r="N85" s="153"/>
      <c r="O85" s="59"/>
    </row>
    <row r="86" spans="1:15" ht="15.95" customHeight="1" x14ac:dyDescent="0.15">
      <c r="A86" s="58"/>
      <c r="B86" s="58"/>
      <c r="C86" s="58"/>
      <c r="D86" s="58"/>
      <c r="E86" s="64"/>
      <c r="F86" s="58"/>
      <c r="G86" s="58"/>
      <c r="H86" s="58"/>
      <c r="I86" s="154"/>
      <c r="J86" s="58"/>
      <c r="K86" s="58"/>
      <c r="L86" s="58"/>
      <c r="N86" s="153"/>
      <c r="O86" s="59"/>
    </row>
    <row r="87" spans="1:15" ht="15.95" customHeight="1" x14ac:dyDescent="0.15">
      <c r="A87" s="58"/>
      <c r="B87" s="58"/>
      <c r="C87" s="59"/>
      <c r="D87" s="60"/>
      <c r="E87" s="59"/>
      <c r="F87" s="59"/>
      <c r="G87" s="59"/>
      <c r="H87" s="59"/>
      <c r="I87" s="59"/>
      <c r="J87" s="59"/>
      <c r="K87" s="59"/>
      <c r="L87" s="61"/>
      <c r="M87" s="61"/>
      <c r="N87" s="117"/>
    </row>
    <row r="88" spans="1:15" ht="15.95" customHeight="1" x14ac:dyDescent="0.15">
      <c r="A88" s="58"/>
      <c r="B88" s="58"/>
      <c r="C88" s="60"/>
      <c r="D88" s="60"/>
      <c r="E88" s="59"/>
      <c r="F88" s="59"/>
      <c r="G88" s="59"/>
      <c r="H88" s="59"/>
      <c r="I88" s="59"/>
      <c r="J88" s="59"/>
      <c r="K88" s="59"/>
      <c r="L88" s="61"/>
      <c r="M88" s="61"/>
      <c r="N88" s="61"/>
    </row>
    <row r="89" spans="1:15" ht="15.95" customHeight="1" x14ac:dyDescent="0.15">
      <c r="A89" s="58"/>
      <c r="B89" s="58"/>
      <c r="C89" s="60"/>
      <c r="D89" s="60"/>
      <c r="E89" s="59"/>
      <c r="F89" s="59"/>
      <c r="G89" s="59"/>
      <c r="H89" s="59"/>
      <c r="I89" s="59"/>
      <c r="J89" s="59"/>
      <c r="K89" s="59"/>
      <c r="L89" s="59"/>
      <c r="M89" s="62"/>
      <c r="N89" s="61"/>
    </row>
    <row r="90" spans="1:15" ht="15.95" customHeight="1" x14ac:dyDescent="0.15">
      <c r="A90" s="58"/>
      <c r="B90" s="58"/>
      <c r="C90" s="60"/>
      <c r="D90" s="60"/>
      <c r="E90" s="59"/>
      <c r="F90" s="59"/>
      <c r="G90" s="59"/>
      <c r="H90" s="59"/>
      <c r="I90" s="59"/>
      <c r="J90" s="59"/>
      <c r="K90" s="59"/>
      <c r="L90" s="61"/>
      <c r="M90" s="61"/>
      <c r="N90" s="61"/>
    </row>
    <row r="91" spans="1:15" ht="15.95" customHeight="1" x14ac:dyDescent="0.15">
      <c r="A91" s="58"/>
      <c r="B91" s="58"/>
      <c r="C91" s="60"/>
      <c r="D91" s="60"/>
      <c r="E91" s="59"/>
      <c r="F91" s="59"/>
      <c r="G91" s="59"/>
      <c r="H91" s="59"/>
      <c r="I91" s="59"/>
      <c r="J91" s="59"/>
      <c r="K91" s="59"/>
      <c r="L91" s="61"/>
      <c r="M91" s="61"/>
      <c r="N91" s="61"/>
    </row>
    <row r="92" spans="1:15" ht="15.95" customHeight="1" x14ac:dyDescent="0.15">
      <c r="A92" s="58"/>
      <c r="B92" s="58"/>
      <c r="C92" s="60"/>
      <c r="D92" s="60"/>
      <c r="E92" s="59"/>
      <c r="F92" s="59"/>
      <c r="G92" s="59"/>
      <c r="H92" s="59"/>
      <c r="I92" s="59"/>
      <c r="J92" s="59"/>
      <c r="K92" s="59"/>
      <c r="L92" s="59"/>
      <c r="M92" s="62"/>
      <c r="N92" s="61"/>
    </row>
    <row r="93" spans="1:15" ht="15.95" customHeight="1" x14ac:dyDescent="0.15">
      <c r="A93" s="58"/>
      <c r="B93" s="58"/>
      <c r="C93" s="60"/>
      <c r="D93" s="60"/>
      <c r="E93" s="59"/>
      <c r="F93" s="59"/>
      <c r="G93" s="59"/>
      <c r="H93" s="59"/>
      <c r="I93" s="59"/>
      <c r="J93" s="59"/>
      <c r="K93" s="59"/>
      <c r="L93" s="61"/>
      <c r="M93" s="61"/>
      <c r="N93" s="62"/>
    </row>
    <row r="94" spans="1:15" ht="15.95" customHeight="1" x14ac:dyDescent="0.15">
      <c r="A94" s="58"/>
      <c r="B94" s="58"/>
      <c r="C94" s="60"/>
      <c r="D94" s="60"/>
      <c r="E94" s="59"/>
      <c r="F94" s="59"/>
      <c r="G94" s="59"/>
      <c r="H94" s="59"/>
      <c r="I94" s="59"/>
      <c r="J94" s="59"/>
      <c r="K94" s="59"/>
      <c r="L94" s="61"/>
      <c r="M94" s="61"/>
      <c r="N94" s="61"/>
    </row>
    <row r="95" spans="1:15" ht="15.95" customHeight="1" x14ac:dyDescent="0.15">
      <c r="A95" s="58"/>
      <c r="B95" s="58"/>
      <c r="C95" s="60"/>
      <c r="D95" s="60"/>
      <c r="E95" s="59"/>
      <c r="F95" s="59"/>
      <c r="G95" s="59"/>
      <c r="H95" s="59"/>
      <c r="I95" s="59"/>
      <c r="J95" s="59"/>
      <c r="K95" s="59"/>
      <c r="L95" s="59"/>
      <c r="M95" s="62"/>
      <c r="N95" s="61"/>
    </row>
    <row r="96" spans="1:15" ht="15.95" customHeight="1" x14ac:dyDescent="0.15">
      <c r="A96" s="58"/>
      <c r="B96" s="58"/>
      <c r="C96" s="60"/>
      <c r="D96" s="60"/>
      <c r="E96" s="59"/>
      <c r="F96" s="59"/>
      <c r="G96" s="59"/>
      <c r="H96" s="59"/>
      <c r="I96" s="59"/>
      <c r="J96" s="59"/>
      <c r="K96" s="59"/>
      <c r="L96" s="58"/>
      <c r="N96" s="62"/>
    </row>
    <row r="97" spans="1:14" ht="15.95" customHeight="1" x14ac:dyDescent="0.15">
      <c r="A97" s="58"/>
      <c r="B97" s="58"/>
      <c r="C97" s="60"/>
      <c r="D97" s="60"/>
      <c r="E97" s="59"/>
      <c r="F97" s="59"/>
      <c r="G97" s="59"/>
      <c r="H97" s="59"/>
      <c r="I97" s="59"/>
      <c r="J97" s="59"/>
      <c r="K97" s="59"/>
      <c r="L97" s="58"/>
    </row>
    <row r="98" spans="1:14" ht="15.95" customHeight="1" x14ac:dyDescent="0.15">
      <c r="A98" s="58"/>
      <c r="B98" s="58"/>
      <c r="C98" s="60"/>
      <c r="D98" s="60"/>
      <c r="E98" s="59"/>
      <c r="F98" s="59"/>
      <c r="G98" s="59"/>
      <c r="H98" s="59"/>
      <c r="I98" s="59"/>
      <c r="J98" s="59"/>
      <c r="K98" s="59"/>
      <c r="L98" s="58"/>
    </row>
    <row r="99" spans="1:14" ht="15.95" customHeight="1" x14ac:dyDescent="0.15">
      <c r="A99" s="58"/>
      <c r="B99" s="58"/>
      <c r="C99" s="60"/>
      <c r="D99" s="60"/>
      <c r="E99" s="59"/>
      <c r="F99" s="59"/>
      <c r="G99" s="59"/>
      <c r="H99" s="59"/>
      <c r="I99" s="59"/>
      <c r="J99" s="59"/>
      <c r="K99" s="59"/>
      <c r="L99" s="59"/>
      <c r="M99" s="59"/>
    </row>
    <row r="100" spans="1:14" ht="15.95" customHeight="1" x14ac:dyDescent="0.15">
      <c r="A100" s="58"/>
      <c r="B100" s="58"/>
      <c r="C100" s="60"/>
      <c r="D100" s="60"/>
      <c r="E100" s="59"/>
      <c r="F100" s="59"/>
      <c r="G100" s="59"/>
      <c r="H100" s="59"/>
      <c r="I100" s="59"/>
      <c r="J100" s="59"/>
      <c r="K100" s="59"/>
      <c r="L100" s="59"/>
      <c r="M100" s="59"/>
    </row>
    <row r="101" spans="1:14" ht="15.95" customHeight="1" x14ac:dyDescent="0.15">
      <c r="A101" s="58"/>
      <c r="B101" s="58"/>
      <c r="C101" s="60"/>
      <c r="D101" s="60"/>
      <c r="E101" s="59"/>
      <c r="F101" s="59"/>
      <c r="G101" s="59"/>
      <c r="H101" s="59"/>
      <c r="I101" s="59"/>
      <c r="J101" s="59"/>
      <c r="K101" s="59"/>
      <c r="L101" s="59"/>
      <c r="M101" s="66"/>
      <c r="N101" s="59"/>
    </row>
    <row r="102" spans="1:14" ht="15.95" customHeight="1" x14ac:dyDescent="0.15">
      <c r="A102" s="58"/>
      <c r="B102" s="58"/>
      <c r="C102" s="58"/>
      <c r="D102" s="59"/>
      <c r="E102" s="66"/>
      <c r="F102" s="59"/>
      <c r="G102" s="59"/>
      <c r="H102" s="59"/>
      <c r="I102" s="63"/>
      <c r="J102" s="59"/>
      <c r="K102" s="59"/>
      <c r="L102" s="59"/>
      <c r="M102" s="59"/>
      <c r="N102" s="62"/>
    </row>
    <row r="103" spans="1:14" ht="15.95" customHeight="1" x14ac:dyDescent="0.15">
      <c r="A103" s="58"/>
      <c r="B103" s="58"/>
      <c r="C103" s="58"/>
      <c r="D103" s="58"/>
      <c r="E103" s="58"/>
      <c r="F103" s="58"/>
      <c r="G103" s="59"/>
      <c r="H103" s="58"/>
      <c r="I103" s="58"/>
      <c r="J103" s="58"/>
      <c r="K103" s="58"/>
      <c r="L103" s="58"/>
    </row>
    <row r="104" spans="1:14" ht="15.95" customHeight="1" x14ac:dyDescent="0.15">
      <c r="A104" s="58"/>
      <c r="B104" s="63"/>
      <c r="C104" s="64"/>
      <c r="D104" s="64"/>
      <c r="E104" s="58"/>
      <c r="F104" s="58"/>
      <c r="G104" s="58"/>
      <c r="H104" s="58"/>
      <c r="I104" s="58"/>
      <c r="J104" s="58"/>
      <c r="K104" s="58"/>
      <c r="L104" s="58"/>
    </row>
    <row r="105" spans="1:14" ht="15.95" customHeight="1" x14ac:dyDescent="0.15">
      <c r="A105" s="58"/>
      <c r="B105" s="63"/>
      <c r="C105" s="64"/>
      <c r="D105" s="64"/>
      <c r="E105" s="58"/>
      <c r="F105" s="58"/>
      <c r="G105" s="58"/>
      <c r="H105" s="58"/>
      <c r="I105" s="58"/>
      <c r="J105" s="58"/>
      <c r="K105" s="58"/>
      <c r="L105" s="58"/>
    </row>
    <row r="106" spans="1:14" ht="15.95" customHeight="1" x14ac:dyDescent="0.15">
      <c r="A106" s="58"/>
      <c r="B106" s="58"/>
      <c r="C106" s="58"/>
      <c r="D106" s="59"/>
      <c r="E106" s="59"/>
      <c r="F106" s="59"/>
      <c r="G106" s="59"/>
      <c r="H106" s="59"/>
      <c r="I106" s="63"/>
      <c r="J106" s="59"/>
      <c r="K106" s="63"/>
      <c r="L106" s="59"/>
      <c r="M106" s="62"/>
    </row>
    <row r="107" spans="1:14" ht="15.95" customHeight="1" x14ac:dyDescent="0.15">
      <c r="A107" s="58"/>
      <c r="B107" s="58"/>
      <c r="C107" s="58"/>
      <c r="D107" s="58"/>
      <c r="E107" s="62"/>
      <c r="F107" s="59"/>
      <c r="G107" s="59"/>
      <c r="H107" s="58"/>
      <c r="I107" s="58"/>
      <c r="J107" s="58"/>
      <c r="K107" s="58"/>
      <c r="L107" s="59"/>
      <c r="M107" s="59"/>
      <c r="N107" s="66"/>
    </row>
    <row r="108" spans="1:14" ht="15.95" customHeight="1" x14ac:dyDescent="0.1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</row>
    <row r="109" spans="1:14" ht="15.95" customHeight="1" x14ac:dyDescent="0.15">
      <c r="A109" s="58"/>
      <c r="B109" s="63"/>
      <c r="C109" s="64"/>
      <c r="D109" s="64"/>
      <c r="E109" s="58"/>
      <c r="F109" s="58"/>
      <c r="G109" s="58"/>
      <c r="H109" s="58"/>
      <c r="I109" s="58"/>
      <c r="J109" s="58"/>
      <c r="K109" s="58"/>
      <c r="L109" s="58"/>
    </row>
    <row r="110" spans="1:14" ht="15.95" customHeight="1" x14ac:dyDescent="0.15">
      <c r="A110" s="58"/>
      <c r="B110" s="58"/>
      <c r="C110" s="58"/>
      <c r="D110" s="60"/>
      <c r="E110" s="59"/>
      <c r="F110" s="59"/>
      <c r="G110" s="59"/>
      <c r="H110" s="59"/>
      <c r="I110" s="59"/>
      <c r="J110" s="59"/>
      <c r="K110" s="59"/>
      <c r="L110" s="59"/>
      <c r="M110" s="62"/>
    </row>
    <row r="111" spans="1:14" ht="15.95" customHeight="1" x14ac:dyDescent="0.15">
      <c r="A111" s="58"/>
      <c r="B111" s="58"/>
      <c r="C111" s="58"/>
      <c r="D111" s="60"/>
      <c r="E111" s="59"/>
      <c r="F111" s="59"/>
      <c r="G111" s="59"/>
      <c r="H111" s="59"/>
      <c r="I111" s="59"/>
      <c r="J111" s="59"/>
      <c r="K111" s="59"/>
      <c r="L111" s="59"/>
      <c r="M111" s="59"/>
    </row>
    <row r="112" spans="1:14" ht="15.95" customHeight="1" x14ac:dyDescent="0.15">
      <c r="A112" s="58"/>
      <c r="B112" s="58"/>
      <c r="C112" s="58"/>
      <c r="D112" s="67"/>
      <c r="E112" s="59"/>
      <c r="F112" s="59"/>
      <c r="G112" s="59"/>
      <c r="H112" s="59"/>
      <c r="I112" s="59"/>
      <c r="J112" s="59"/>
      <c r="K112" s="59"/>
      <c r="L112" s="59"/>
      <c r="M112" s="59"/>
    </row>
    <row r="113" spans="1:15" ht="15.95" customHeight="1" x14ac:dyDescent="0.1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N113" s="62"/>
    </row>
    <row r="114" spans="1:15" ht="15.95" customHeight="1" x14ac:dyDescent="0.15">
      <c r="A114" s="58"/>
      <c r="B114" s="63"/>
      <c r="C114" s="64"/>
      <c r="D114" s="64"/>
      <c r="E114" s="58"/>
      <c r="F114" s="58"/>
      <c r="G114" s="58"/>
      <c r="H114" s="58"/>
      <c r="I114" s="58"/>
      <c r="J114" s="58"/>
      <c r="K114" s="58"/>
      <c r="L114" s="58"/>
    </row>
    <row r="115" spans="1:15" ht="15.95" customHeight="1" x14ac:dyDescent="0.15">
      <c r="A115" s="58"/>
      <c r="B115" s="63"/>
      <c r="C115" s="64"/>
      <c r="D115" s="64"/>
      <c r="E115" s="62"/>
      <c r="F115" s="59"/>
      <c r="G115" s="59"/>
      <c r="H115" s="59"/>
      <c r="I115" s="59"/>
      <c r="J115" s="59"/>
      <c r="K115" s="62"/>
      <c r="L115" s="59"/>
      <c r="M115" s="62"/>
    </row>
    <row r="116" spans="1:15" ht="15.95" customHeight="1" x14ac:dyDescent="0.15">
      <c r="A116" s="58"/>
      <c r="B116" s="58"/>
      <c r="C116" s="58"/>
      <c r="D116" s="58"/>
      <c r="E116" s="62"/>
      <c r="F116" s="59"/>
      <c r="G116" s="59"/>
      <c r="H116" s="65"/>
      <c r="I116" s="58"/>
      <c r="J116" s="58"/>
      <c r="K116" s="58"/>
      <c r="L116" s="58"/>
      <c r="N116" s="62"/>
    </row>
    <row r="117" spans="1:15" ht="15.95" customHeight="1" x14ac:dyDescent="0.1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N117" s="68"/>
      <c r="O117" s="63"/>
    </row>
    <row r="118" spans="1:15" ht="15.95" customHeight="1" x14ac:dyDescent="0.15"/>
    <row r="119" spans="1:15" ht="15.95" customHeight="1" x14ac:dyDescent="0.15"/>
    <row r="120" spans="1:15" ht="15.95" customHeight="1" x14ac:dyDescent="0.15"/>
    <row r="121" spans="1:15" ht="15.95" customHeight="1" x14ac:dyDescent="0.15"/>
    <row r="122" spans="1:15" ht="15.95" customHeight="1" x14ac:dyDescent="0.15"/>
    <row r="123" spans="1:15" ht="15.95" customHeight="1" x14ac:dyDescent="0.15"/>
    <row r="124" spans="1:15" ht="15.95" customHeight="1" x14ac:dyDescent="0.15"/>
    <row r="125" spans="1:15" ht="15.95" customHeight="1" x14ac:dyDescent="0.15"/>
    <row r="126" spans="1:15" ht="15.95" customHeight="1" x14ac:dyDescent="0.15"/>
    <row r="127" spans="1:15" ht="15.95" customHeight="1" x14ac:dyDescent="0.15"/>
    <row r="128" spans="1:15" ht="15.95" customHeight="1" x14ac:dyDescent="0.15"/>
    <row r="129" ht="15.95" customHeight="1" x14ac:dyDescent="0.15"/>
    <row r="130" ht="15.95" customHeight="1" x14ac:dyDescent="0.15"/>
    <row r="131" ht="15.95" customHeight="1" x14ac:dyDescent="0.15"/>
    <row r="132" ht="15.95" customHeight="1" x14ac:dyDescent="0.15"/>
    <row r="133" ht="15.95" customHeight="1" x14ac:dyDescent="0.15"/>
    <row r="134" ht="15.95" customHeight="1" x14ac:dyDescent="0.15"/>
    <row r="135" ht="15.95" customHeight="1" x14ac:dyDescent="0.15"/>
    <row r="136" ht="15.95" customHeight="1" x14ac:dyDescent="0.15"/>
    <row r="137" ht="15.95" customHeight="1" x14ac:dyDescent="0.15"/>
  </sheetData>
  <mergeCells count="17">
    <mergeCell ref="D73:E73"/>
    <mergeCell ref="D74:E74"/>
    <mergeCell ref="R11:X11"/>
    <mergeCell ref="E42:O42"/>
    <mergeCell ref="R43:Z43"/>
    <mergeCell ref="E46:O46"/>
    <mergeCell ref="R13:Z13"/>
    <mergeCell ref="E16:O16"/>
    <mergeCell ref="Q18:X18"/>
    <mergeCell ref="Q19:X19"/>
    <mergeCell ref="F32:J32"/>
    <mergeCell ref="E38:O38"/>
    <mergeCell ref="A1:M1"/>
    <mergeCell ref="E2:I2"/>
    <mergeCell ref="Q4:X4"/>
    <mergeCell ref="R6:X6"/>
    <mergeCell ref="R9:X9"/>
  </mergeCells>
  <phoneticPr fontId="4"/>
  <pageMargins left="0.19685039370078741" right="0.19685039370078741" top="0.19685039370078741" bottom="0.19685039370078741" header="0.51181102362204722" footer="0.51181102362204722"/>
  <pageSetup paperSize="9" scale="93" orientation="portrait" horizontalDpi="300" verticalDpi="300" r:id="rId1"/>
  <headerFooter alignWithMargins="0"/>
  <colBreaks count="1" manualBreakCount="1">
    <brk id="16" max="7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EB3FD-FB3A-44E6-BF4E-B8F5E6874E37}">
  <sheetPr codeName="Sheet4">
    <tabColor rgb="FFFF0000"/>
  </sheetPr>
  <dimension ref="A1:AA62"/>
  <sheetViews>
    <sheetView view="pageBreakPreview" zoomScale="130" zoomScaleNormal="100" zoomScaleSheetLayoutView="130" workbookViewId="0">
      <selection activeCell="D3" sqref="D3"/>
    </sheetView>
  </sheetViews>
  <sheetFormatPr defaultRowHeight="13.5" x14ac:dyDescent="0.15"/>
  <cols>
    <col min="1" max="1" width="1.75" customWidth="1"/>
    <col min="2" max="25" width="3.75" customWidth="1"/>
    <col min="26" max="26" width="1.75" customWidth="1"/>
    <col min="27" max="34" width="8.875" customWidth="1"/>
  </cols>
  <sheetData>
    <row r="1" spans="1:27" ht="20.45" customHeight="1" x14ac:dyDescent="0.15">
      <c r="A1" s="406" t="s">
        <v>231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406"/>
      <c r="Q1" s="406"/>
      <c r="R1" s="406"/>
      <c r="S1" s="406"/>
      <c r="T1" s="406"/>
      <c r="U1" s="406"/>
      <c r="V1" s="406"/>
      <c r="W1" s="406"/>
      <c r="X1" s="406"/>
      <c r="Y1" s="406"/>
    </row>
    <row r="2" spans="1:27" ht="5.45" customHeight="1" thickBot="1" x14ac:dyDescent="0.2">
      <c r="A2" s="415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5"/>
      <c r="W2" s="415"/>
      <c r="X2" s="415"/>
      <c r="Y2" s="415"/>
      <c r="Z2" s="309"/>
    </row>
    <row r="3" spans="1:27" ht="20.45" customHeight="1" thickBot="1" x14ac:dyDescent="0.2">
      <c r="A3" s="416" t="s">
        <v>232</v>
      </c>
      <c r="B3" s="417"/>
      <c r="C3" s="418"/>
      <c r="D3" s="310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2"/>
      <c r="R3" s="311"/>
      <c r="S3" s="311"/>
      <c r="T3" s="313" t="s">
        <v>233</v>
      </c>
      <c r="U3" s="314"/>
      <c r="V3" s="315"/>
      <c r="W3" s="316"/>
      <c r="X3" s="316"/>
      <c r="Y3" s="316"/>
      <c r="Z3" s="317"/>
    </row>
    <row r="4" spans="1:27" ht="20.45" customHeight="1" x14ac:dyDescent="0.15">
      <c r="A4" s="419" t="s">
        <v>234</v>
      </c>
      <c r="B4" s="400"/>
      <c r="C4" s="420"/>
      <c r="D4" s="318" t="s">
        <v>235</v>
      </c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  <c r="V4" s="319"/>
      <c r="W4" s="319"/>
      <c r="X4" s="319"/>
      <c r="Y4" s="319"/>
      <c r="Z4" s="317"/>
    </row>
    <row r="5" spans="1:27" ht="20.45" customHeight="1" x14ac:dyDescent="0.15">
      <c r="A5" s="419" t="s">
        <v>236</v>
      </c>
      <c r="B5" s="400"/>
      <c r="C5" s="420"/>
      <c r="D5" s="320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321"/>
    </row>
    <row r="6" spans="1:27" ht="20.45" customHeight="1" thickBot="1" x14ac:dyDescent="0.2">
      <c r="A6" s="413" t="s">
        <v>237</v>
      </c>
      <c r="B6" s="414"/>
      <c r="C6" s="414"/>
      <c r="D6" s="322"/>
      <c r="E6" s="323"/>
      <c r="F6" s="323"/>
      <c r="G6" s="323"/>
      <c r="H6" s="323"/>
      <c r="I6" s="323"/>
      <c r="J6" s="323"/>
      <c r="K6" s="323"/>
      <c r="L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4"/>
    </row>
    <row r="7" spans="1:27" ht="6" customHeight="1" x14ac:dyDescent="0.15">
      <c r="A7" s="421"/>
      <c r="B7" s="421"/>
      <c r="C7" s="421"/>
      <c r="D7" s="421"/>
      <c r="E7" s="421"/>
      <c r="F7" s="421"/>
      <c r="G7" s="421"/>
      <c r="H7" s="421"/>
      <c r="I7" s="421"/>
      <c r="J7" s="421"/>
      <c r="K7" s="421"/>
      <c r="L7" s="421"/>
      <c r="M7" s="421"/>
      <c r="N7" s="421"/>
      <c r="O7" s="421"/>
      <c r="P7" s="421"/>
      <c r="Q7" s="421"/>
      <c r="R7" s="421"/>
      <c r="S7" s="421"/>
      <c r="T7" s="421"/>
      <c r="U7" s="421"/>
      <c r="V7" s="421"/>
      <c r="W7" s="421"/>
      <c r="X7" s="421"/>
      <c r="Y7" s="421"/>
      <c r="Z7" s="325"/>
    </row>
    <row r="8" spans="1:27" ht="20.45" customHeight="1" thickBot="1" x14ac:dyDescent="0.2">
      <c r="A8" s="414" t="s">
        <v>238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4"/>
      <c r="O8" s="414"/>
      <c r="P8" s="414"/>
      <c r="Q8" s="414"/>
      <c r="R8" s="414"/>
      <c r="S8" s="414"/>
      <c r="T8" s="414"/>
      <c r="U8" s="414"/>
      <c r="V8" s="414"/>
      <c r="W8" s="414"/>
      <c r="X8" s="414"/>
      <c r="Y8" s="414"/>
    </row>
    <row r="9" spans="1:27" ht="20.45" customHeight="1" x14ac:dyDescent="0.15">
      <c r="A9" s="416" t="s">
        <v>239</v>
      </c>
      <c r="B9" s="417"/>
      <c r="C9" s="418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1"/>
      <c r="T9" s="311"/>
      <c r="U9" s="311"/>
      <c r="V9" s="311"/>
      <c r="W9" s="311"/>
      <c r="X9" s="311"/>
      <c r="Y9" s="311"/>
      <c r="Z9" s="326"/>
      <c r="AA9" s="327"/>
    </row>
    <row r="10" spans="1:27" ht="20.45" customHeight="1" x14ac:dyDescent="0.15">
      <c r="A10" s="419" t="s">
        <v>43</v>
      </c>
      <c r="B10" s="400"/>
      <c r="C10" s="420"/>
      <c r="D10" s="328"/>
      <c r="E10" s="329"/>
      <c r="F10" s="329"/>
      <c r="G10" s="329"/>
      <c r="H10" s="329"/>
      <c r="I10" s="329"/>
      <c r="J10" s="329"/>
      <c r="K10" s="329"/>
      <c r="L10" s="329"/>
      <c r="M10" s="329"/>
      <c r="N10" s="329"/>
      <c r="O10" s="329"/>
      <c r="P10" s="329"/>
      <c r="Q10" s="329"/>
      <c r="R10" s="329"/>
      <c r="S10" s="329"/>
      <c r="T10" s="329"/>
      <c r="U10" s="329"/>
      <c r="V10" s="329"/>
      <c r="W10" s="329"/>
      <c r="X10" s="329"/>
      <c r="Y10" s="329"/>
      <c r="Z10" s="321"/>
      <c r="AA10" s="327"/>
    </row>
    <row r="11" spans="1:27" ht="20.45" customHeight="1" thickBot="1" x14ac:dyDescent="0.2">
      <c r="A11" s="413" t="s">
        <v>240</v>
      </c>
      <c r="B11" s="414"/>
      <c r="C11" s="422"/>
      <c r="D11" s="330"/>
      <c r="E11" s="331"/>
      <c r="F11" s="309"/>
      <c r="G11" s="423" t="s">
        <v>241</v>
      </c>
      <c r="H11" s="424"/>
      <c r="I11" s="425"/>
      <c r="J11" s="331" t="s">
        <v>242</v>
      </c>
      <c r="K11" s="331"/>
      <c r="L11" s="309"/>
      <c r="M11" s="423" t="s">
        <v>243</v>
      </c>
      <c r="N11" s="424"/>
      <c r="O11" s="425"/>
      <c r="P11" s="331"/>
      <c r="Q11" s="331"/>
      <c r="R11" s="331"/>
      <c r="S11" s="331"/>
      <c r="T11" s="331"/>
      <c r="U11" s="331"/>
      <c r="V11" s="331"/>
      <c r="W11" s="331"/>
      <c r="X11" s="331"/>
      <c r="Y11" s="331"/>
      <c r="AA11" s="327"/>
    </row>
    <row r="12" spans="1:27" ht="6" customHeight="1" x14ac:dyDescent="0.15">
      <c r="A12" s="427"/>
      <c r="B12" s="427"/>
      <c r="C12" s="427"/>
      <c r="D12" s="427"/>
      <c r="E12" s="427"/>
      <c r="F12" s="427"/>
      <c r="G12" s="427"/>
      <c r="H12" s="427"/>
      <c r="I12" s="427"/>
      <c r="J12" s="427"/>
      <c r="K12" s="427"/>
      <c r="L12" s="427"/>
      <c r="M12" s="427"/>
      <c r="N12" s="427"/>
      <c r="O12" s="427"/>
      <c r="P12" s="427"/>
      <c r="Q12" s="427"/>
      <c r="R12" s="427"/>
      <c r="S12" s="427"/>
      <c r="T12" s="427"/>
      <c r="U12" s="427"/>
      <c r="V12" s="427"/>
      <c r="W12" s="427"/>
      <c r="X12" s="427"/>
      <c r="Y12" s="427"/>
      <c r="Z12" s="325"/>
    </row>
    <row r="13" spans="1:27" ht="20.45" customHeight="1" thickBot="1" x14ac:dyDescent="0.2">
      <c r="A13" s="414" t="s">
        <v>244</v>
      </c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14"/>
      <c r="O13" s="414"/>
      <c r="P13" s="414"/>
      <c r="Q13" s="414"/>
      <c r="R13" s="414"/>
      <c r="S13" s="414"/>
      <c r="T13" s="414"/>
      <c r="U13" s="414"/>
      <c r="V13" s="414"/>
      <c r="W13" s="414"/>
      <c r="X13" s="414"/>
      <c r="Y13" s="414"/>
      <c r="Z13" s="309"/>
    </row>
    <row r="14" spans="1:27" ht="20.45" customHeight="1" x14ac:dyDescent="0.15">
      <c r="A14" s="416" t="s">
        <v>245</v>
      </c>
      <c r="B14" s="417"/>
      <c r="C14" s="418"/>
      <c r="D14" s="310"/>
      <c r="E14" s="311"/>
      <c r="F14" s="311"/>
      <c r="G14" s="311"/>
      <c r="H14" s="311"/>
      <c r="I14" s="311"/>
      <c r="J14" s="311"/>
      <c r="K14" s="428" t="s">
        <v>246</v>
      </c>
      <c r="L14" s="417"/>
      <c r="M14" s="332"/>
      <c r="N14" s="311"/>
      <c r="O14" s="311"/>
      <c r="P14" s="311"/>
      <c r="Q14" s="311"/>
      <c r="R14" s="311"/>
      <c r="S14" s="311"/>
      <c r="T14" s="311"/>
      <c r="U14" s="311"/>
      <c r="V14" s="311"/>
      <c r="W14" s="311"/>
      <c r="X14" s="311"/>
      <c r="Y14" s="311"/>
      <c r="Z14" s="326"/>
      <c r="AA14" s="327"/>
    </row>
    <row r="15" spans="1:27" ht="20.45" customHeight="1" x14ac:dyDescent="0.15">
      <c r="A15" s="419" t="s">
        <v>7</v>
      </c>
      <c r="B15" s="400"/>
      <c r="C15" s="420"/>
      <c r="D15" s="328"/>
      <c r="E15" s="329"/>
      <c r="F15" s="329"/>
      <c r="G15" s="329"/>
      <c r="H15" s="329"/>
      <c r="I15" s="329"/>
      <c r="J15" s="329"/>
      <c r="K15" s="329"/>
      <c r="L15" s="329"/>
      <c r="M15" s="329"/>
      <c r="N15" s="329"/>
      <c r="O15" s="329"/>
      <c r="P15" s="329"/>
      <c r="Q15" s="329"/>
      <c r="R15" s="329"/>
      <c r="S15" s="329"/>
      <c r="T15" s="329"/>
      <c r="U15" s="329"/>
      <c r="V15" s="329"/>
      <c r="W15" s="329"/>
      <c r="X15" s="329"/>
      <c r="Y15" s="329"/>
      <c r="Z15" s="321"/>
    </row>
    <row r="16" spans="1:27" ht="20.45" customHeight="1" thickBot="1" x14ac:dyDescent="0.2">
      <c r="A16" s="413" t="s">
        <v>21</v>
      </c>
      <c r="B16" s="414"/>
      <c r="C16" s="414"/>
      <c r="D16" s="333" t="s">
        <v>248</v>
      </c>
      <c r="E16" s="331"/>
      <c r="F16" s="331"/>
      <c r="G16" s="331"/>
      <c r="H16" s="331"/>
      <c r="I16" s="331" t="s">
        <v>249</v>
      </c>
      <c r="J16" s="331"/>
      <c r="K16" s="331"/>
      <c r="L16" s="331"/>
      <c r="M16" s="331"/>
      <c r="N16" s="331"/>
      <c r="O16" s="331"/>
      <c r="P16" s="331"/>
      <c r="Q16" s="331"/>
      <c r="R16" s="331"/>
      <c r="S16" s="331"/>
      <c r="T16" s="331"/>
      <c r="U16" s="331"/>
      <c r="V16" s="331"/>
      <c r="W16" s="331"/>
      <c r="X16" s="331"/>
      <c r="Y16" s="331"/>
      <c r="Z16" s="324"/>
    </row>
    <row r="17" spans="1:26" ht="6" customHeight="1" x14ac:dyDescent="0.15">
      <c r="A17" s="426"/>
      <c r="B17" s="426"/>
      <c r="C17" s="426"/>
      <c r="D17" s="426"/>
      <c r="E17" s="426"/>
      <c r="F17" s="426"/>
      <c r="G17" s="426"/>
      <c r="H17" s="426"/>
      <c r="I17" s="426"/>
      <c r="J17" s="426"/>
      <c r="K17" s="426"/>
      <c r="L17" s="426"/>
      <c r="M17" s="426"/>
      <c r="N17" s="426"/>
      <c r="O17" s="426"/>
      <c r="P17" s="426"/>
      <c r="Q17" s="426"/>
      <c r="R17" s="426"/>
      <c r="S17" s="426"/>
      <c r="T17" s="426"/>
      <c r="U17" s="426"/>
      <c r="V17" s="426"/>
      <c r="W17" s="426"/>
      <c r="X17" s="426"/>
      <c r="Y17" s="426"/>
      <c r="Z17" s="325"/>
    </row>
    <row r="18" spans="1:26" ht="20.45" customHeight="1" thickBot="1" x14ac:dyDescent="0.2">
      <c r="A18" s="414" t="s">
        <v>247</v>
      </c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14"/>
      <c r="O18" s="414"/>
      <c r="P18" s="414"/>
      <c r="Q18" s="414"/>
      <c r="R18" s="414"/>
      <c r="S18" s="414"/>
      <c r="T18" s="414"/>
      <c r="U18" s="414"/>
      <c r="V18" s="414"/>
      <c r="W18" s="414"/>
      <c r="X18" s="414"/>
      <c r="Y18" s="414"/>
      <c r="Z18" s="309"/>
    </row>
    <row r="19" spans="1:26" ht="20.45" customHeight="1" x14ac:dyDescent="0.15">
      <c r="A19" s="320"/>
      <c r="B19" s="334"/>
      <c r="C19" s="334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17"/>
    </row>
    <row r="20" spans="1:26" ht="20.45" customHeight="1" x14ac:dyDescent="0.15">
      <c r="A20" s="320"/>
      <c r="B20" s="182"/>
      <c r="C20" s="182"/>
      <c r="D20" s="182"/>
      <c r="E20" s="182"/>
      <c r="F20" s="182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335"/>
    </row>
    <row r="21" spans="1:26" ht="20.45" customHeight="1" x14ac:dyDescent="0.15">
      <c r="A21" s="320"/>
      <c r="B21" s="182"/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335"/>
    </row>
    <row r="22" spans="1:26" ht="20.45" customHeight="1" x14ac:dyDescent="0.15">
      <c r="A22" s="320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335"/>
    </row>
    <row r="23" spans="1:26" ht="20.45" customHeight="1" x14ac:dyDescent="0.15">
      <c r="A23" s="320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335"/>
    </row>
    <row r="24" spans="1:26" ht="20.45" customHeight="1" x14ac:dyDescent="0.15">
      <c r="A24" s="320"/>
      <c r="B24" s="182"/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335"/>
    </row>
    <row r="25" spans="1:26" ht="20.45" customHeight="1" x14ac:dyDescent="0.15">
      <c r="A25" s="320"/>
      <c r="B25" s="182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335"/>
    </row>
    <row r="26" spans="1:26" ht="20.45" customHeight="1" x14ac:dyDescent="0.15">
      <c r="A26" s="320"/>
      <c r="B26" s="182"/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335"/>
    </row>
    <row r="27" spans="1:26" ht="20.45" customHeight="1" x14ac:dyDescent="0.15">
      <c r="A27" s="320"/>
      <c r="B27" s="182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335"/>
    </row>
    <row r="28" spans="1:26" ht="20.45" customHeight="1" x14ac:dyDescent="0.15">
      <c r="A28" s="320"/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335"/>
    </row>
    <row r="29" spans="1:26" ht="20.45" customHeight="1" x14ac:dyDescent="0.15">
      <c r="A29" s="320"/>
      <c r="B29" s="182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335"/>
    </row>
    <row r="30" spans="1:26" ht="20.45" customHeight="1" x14ac:dyDescent="0.15">
      <c r="A30" s="320"/>
      <c r="B30" s="182"/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335"/>
    </row>
    <row r="31" spans="1:26" ht="20.45" customHeight="1" x14ac:dyDescent="0.15">
      <c r="A31" s="320"/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335"/>
    </row>
    <row r="32" spans="1:26" ht="20.45" customHeight="1" x14ac:dyDescent="0.15">
      <c r="A32" s="320"/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335"/>
    </row>
    <row r="33" spans="1:26" ht="20.45" customHeight="1" x14ac:dyDescent="0.15">
      <c r="A33" s="320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335"/>
    </row>
    <row r="34" spans="1:26" ht="20.45" customHeight="1" x14ac:dyDescent="0.15">
      <c r="A34" s="320"/>
      <c r="B34" s="182"/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335"/>
    </row>
    <row r="35" spans="1:26" ht="20.45" customHeight="1" x14ac:dyDescent="0.15">
      <c r="A35" s="320"/>
      <c r="B35" s="182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335"/>
    </row>
    <row r="36" spans="1:26" ht="20.45" customHeight="1" x14ac:dyDescent="0.15">
      <c r="A36" s="320"/>
      <c r="B36" s="182"/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335"/>
    </row>
    <row r="37" spans="1:26" ht="20.45" customHeight="1" x14ac:dyDescent="0.15">
      <c r="A37" s="320"/>
      <c r="B37" s="182"/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335"/>
    </row>
    <row r="38" spans="1:26" ht="20.45" customHeight="1" x14ac:dyDescent="0.15">
      <c r="A38" s="320"/>
      <c r="B38" s="182"/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335"/>
    </row>
    <row r="39" spans="1:26" ht="20.45" customHeight="1" x14ac:dyDescent="0.15">
      <c r="A39" s="320"/>
      <c r="B39" s="182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335"/>
    </row>
    <row r="40" spans="1:26" ht="20.45" customHeight="1" x14ac:dyDescent="0.15">
      <c r="A40" s="320"/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335"/>
    </row>
    <row r="41" spans="1:26" ht="20.45" customHeight="1" x14ac:dyDescent="0.15">
      <c r="A41" s="320"/>
      <c r="B41" s="182"/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335"/>
    </row>
    <row r="42" spans="1:26" ht="20.45" customHeight="1" x14ac:dyDescent="0.15">
      <c r="A42" s="320"/>
      <c r="B42" s="182"/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335"/>
    </row>
    <row r="43" spans="1:26" ht="20.45" customHeight="1" x14ac:dyDescent="0.15">
      <c r="A43" s="320"/>
      <c r="B43" s="182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335"/>
    </row>
    <row r="44" spans="1:26" ht="20.45" customHeight="1" thickBot="1" x14ac:dyDescent="0.2">
      <c r="A44" s="336"/>
      <c r="B44" s="309"/>
      <c r="C44" s="309"/>
      <c r="D44" s="309"/>
      <c r="E44" s="309"/>
      <c r="F44" s="309"/>
      <c r="G44" s="309"/>
      <c r="H44" s="309"/>
      <c r="I44" s="309"/>
      <c r="J44" s="309"/>
      <c r="K44" s="309"/>
      <c r="L44" s="309"/>
      <c r="M44" s="309"/>
      <c r="N44" s="309"/>
      <c r="O44" s="309"/>
      <c r="P44" s="309"/>
      <c r="Q44" s="309"/>
      <c r="R44" s="309"/>
      <c r="S44" s="309"/>
      <c r="T44" s="309"/>
      <c r="U44" s="309"/>
      <c r="V44" s="309"/>
      <c r="W44" s="309"/>
      <c r="X44" s="309"/>
      <c r="Y44" s="309"/>
      <c r="Z44" s="324"/>
    </row>
    <row r="45" spans="1:26" ht="20.45" customHeight="1" x14ac:dyDescent="0.15"/>
    <row r="46" spans="1:26" ht="20.45" customHeight="1" x14ac:dyDescent="0.15"/>
    <row r="47" spans="1:26" ht="20.45" customHeight="1" x14ac:dyDescent="0.15"/>
    <row r="48" spans="1:26" ht="20.45" customHeight="1" x14ac:dyDescent="0.15"/>
    <row r="49" ht="20.45" customHeight="1" x14ac:dyDescent="0.15"/>
    <row r="50" ht="20.45" customHeight="1" x14ac:dyDescent="0.15"/>
    <row r="51" ht="20.45" customHeight="1" x14ac:dyDescent="0.15"/>
    <row r="52" ht="20.45" customHeight="1" x14ac:dyDescent="0.15"/>
    <row r="53" ht="20.45" customHeight="1" x14ac:dyDescent="0.15"/>
    <row r="54" ht="20.45" customHeight="1" x14ac:dyDescent="0.15"/>
    <row r="55" ht="20.45" customHeight="1" x14ac:dyDescent="0.15"/>
    <row r="56" ht="20.45" customHeight="1" x14ac:dyDescent="0.15"/>
    <row r="57" ht="20.45" customHeight="1" x14ac:dyDescent="0.15"/>
    <row r="58" ht="20.45" customHeight="1" x14ac:dyDescent="0.15"/>
    <row r="59" ht="20.45" customHeight="1" x14ac:dyDescent="0.15"/>
    <row r="60" ht="20.45" customHeight="1" x14ac:dyDescent="0.15"/>
    <row r="61" ht="20.45" customHeight="1" x14ac:dyDescent="0.15"/>
    <row r="62" ht="20.45" customHeight="1" x14ac:dyDescent="0.15"/>
  </sheetData>
  <mergeCells count="21">
    <mergeCell ref="A17:Y17"/>
    <mergeCell ref="A18:Y18"/>
    <mergeCell ref="A12:Y12"/>
    <mergeCell ref="A13:Y13"/>
    <mergeCell ref="A14:C14"/>
    <mergeCell ref="K14:L14"/>
    <mergeCell ref="A15:C15"/>
    <mergeCell ref="A16:C16"/>
    <mergeCell ref="A7:Y7"/>
    <mergeCell ref="A8:Y8"/>
    <mergeCell ref="A9:C9"/>
    <mergeCell ref="A10:C10"/>
    <mergeCell ref="A11:C11"/>
    <mergeCell ref="G11:I11"/>
    <mergeCell ref="M11:O11"/>
    <mergeCell ref="A6:C6"/>
    <mergeCell ref="A1:Y1"/>
    <mergeCell ref="A2:Y2"/>
    <mergeCell ref="A3:C3"/>
    <mergeCell ref="A4:C4"/>
    <mergeCell ref="A5:C5"/>
  </mergeCells>
  <phoneticPr fontId="4"/>
  <pageMargins left="0.7" right="0.7" top="0.75" bottom="0.75" header="0.3" footer="0.3"/>
  <pageSetup paperSize="9" scale="93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BA370"/>
  <sheetViews>
    <sheetView view="pageBreakPreview" topLeftCell="D1" zoomScaleNormal="100" zoomScaleSheetLayoutView="100" workbookViewId="0">
      <selection activeCell="Z6" sqref="Z6"/>
    </sheetView>
  </sheetViews>
  <sheetFormatPr defaultColWidth="9" defaultRowHeight="21" customHeight="1" x14ac:dyDescent="0.15"/>
  <cols>
    <col min="1" max="1" width="1.875" style="1" customWidth="1"/>
    <col min="2" max="2" width="5" style="1" customWidth="1"/>
    <col min="3" max="3" width="15" style="1" customWidth="1"/>
    <col min="4" max="4" width="10" style="1" customWidth="1"/>
    <col min="5" max="6" width="5" style="1" customWidth="1"/>
    <col min="7" max="8" width="5" style="293" customWidth="1"/>
    <col min="9" max="11" width="5" style="1" customWidth="1"/>
    <col min="12" max="14" width="6.25" style="1" customWidth="1"/>
    <col min="15" max="16" width="5" style="1" customWidth="1"/>
    <col min="17" max="18" width="6.25" style="1" customWidth="1"/>
    <col min="19" max="19" width="6.25" style="77" customWidth="1"/>
    <col min="20" max="40" width="5" style="1" customWidth="1"/>
    <col min="41" max="49" width="5" style="53" customWidth="1"/>
    <col min="50" max="50" width="5" style="1" customWidth="1"/>
    <col min="51" max="51" width="5.75" style="1" customWidth="1"/>
    <col min="52" max="52" width="6.25" style="1" customWidth="1"/>
    <col min="53" max="53" width="1.875" style="1" customWidth="1"/>
    <col min="54" max="136" width="5.75" style="1" customWidth="1"/>
    <col min="137" max="16384" width="9" style="1"/>
  </cols>
  <sheetData>
    <row r="1" spans="1:52" ht="13.5" customHeight="1" x14ac:dyDescent="0.15">
      <c r="A1" s="2"/>
      <c r="B1" s="2"/>
      <c r="C1" s="107"/>
    </row>
    <row r="2" spans="1:52" ht="21" customHeight="1" x14ac:dyDescent="0.15">
      <c r="A2" s="3"/>
      <c r="B2" s="450" t="s">
        <v>532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"/>
      <c r="Q2" s="5"/>
      <c r="R2" s="433" t="s">
        <v>94</v>
      </c>
      <c r="S2" s="434"/>
      <c r="T2" s="434"/>
      <c r="U2" s="435"/>
      <c r="V2" s="72" t="s">
        <v>21</v>
      </c>
      <c r="W2" s="106">
        <v>35</v>
      </c>
      <c r="X2" s="73" t="s">
        <v>95</v>
      </c>
      <c r="Y2" s="74" t="s">
        <v>22</v>
      </c>
      <c r="Z2" s="106">
        <v>60</v>
      </c>
      <c r="AA2" s="75" t="s">
        <v>96</v>
      </c>
      <c r="AB2" s="436" t="s">
        <v>38</v>
      </c>
      <c r="AC2" s="437"/>
      <c r="AD2" s="472">
        <f>IF(Z2=0,"",entaru(W2,Z2))</f>
        <v>89.584129333496094</v>
      </c>
      <c r="AE2" s="76" t="s">
        <v>23</v>
      </c>
      <c r="AF2" s="72" t="s">
        <v>39</v>
      </c>
      <c r="AG2" s="472">
        <f>IF(Z2=0,"",hizyu(W2,Z2))</f>
        <v>1.107662558555603</v>
      </c>
      <c r="AH2" s="73" t="s">
        <v>97</v>
      </c>
      <c r="AI2" s="4"/>
      <c r="AQ2" s="6"/>
      <c r="AR2" s="6" t="s">
        <v>152</v>
      </c>
      <c r="AS2" s="431">
        <f ca="1">TODAY()</f>
        <v>45628</v>
      </c>
      <c r="AT2" s="432"/>
      <c r="AU2" s="432"/>
      <c r="AV2" s="6"/>
      <c r="AW2" s="6"/>
      <c r="AX2" s="4"/>
    </row>
    <row r="3" spans="1:52" ht="4.9000000000000004" customHeight="1" x14ac:dyDescent="0.15">
      <c r="A3" s="3"/>
      <c r="B3" s="69"/>
      <c r="C3" s="69"/>
      <c r="D3" s="69"/>
      <c r="E3" s="69"/>
      <c r="F3" s="69"/>
      <c r="G3" s="294"/>
      <c r="H3" s="294"/>
      <c r="I3" s="69"/>
      <c r="J3" s="69"/>
      <c r="K3" s="69"/>
      <c r="L3" s="69"/>
      <c r="M3" s="69"/>
      <c r="N3" s="69"/>
      <c r="O3" s="69"/>
      <c r="P3" s="4"/>
      <c r="Q3" s="5"/>
      <c r="R3" s="71"/>
      <c r="S3" s="78"/>
      <c r="T3" s="71"/>
      <c r="U3" s="71"/>
      <c r="V3" s="70"/>
      <c r="W3" s="70"/>
      <c r="X3" s="70"/>
      <c r="Y3" s="70"/>
      <c r="Z3" s="70"/>
      <c r="AA3" s="70"/>
      <c r="AB3" s="70"/>
      <c r="AC3" s="70"/>
      <c r="AD3" s="6"/>
      <c r="AE3" s="4"/>
      <c r="AF3" s="4"/>
      <c r="AG3" s="4"/>
      <c r="AH3" s="4"/>
      <c r="AI3" s="4"/>
      <c r="AJ3" s="4"/>
      <c r="AK3" s="4"/>
      <c r="AL3" s="4"/>
      <c r="AM3" s="4"/>
      <c r="AN3" s="4"/>
      <c r="AO3" s="6"/>
      <c r="AP3" s="6"/>
      <c r="AQ3" s="6"/>
      <c r="AR3" s="6"/>
      <c r="AS3" s="6"/>
      <c r="AT3" s="6"/>
      <c r="AU3" s="6"/>
      <c r="AV3" s="6"/>
      <c r="AW3" s="6"/>
      <c r="AX3" s="4"/>
    </row>
    <row r="4" spans="1:52" ht="18" customHeight="1" x14ac:dyDescent="0.15">
      <c r="A4" s="3"/>
      <c r="B4" s="451" t="s">
        <v>146</v>
      </c>
      <c r="C4" s="459" t="s">
        <v>1</v>
      </c>
      <c r="D4" s="447" t="s">
        <v>2</v>
      </c>
      <c r="E4" s="444" t="s">
        <v>25</v>
      </c>
      <c r="F4" s="445"/>
      <c r="G4" s="445"/>
      <c r="H4" s="446"/>
      <c r="I4" s="444" t="s">
        <v>29</v>
      </c>
      <c r="J4" s="445"/>
      <c r="K4" s="445"/>
      <c r="L4" s="445"/>
      <c r="M4" s="458"/>
      <c r="N4" s="444" t="s">
        <v>4</v>
      </c>
      <c r="O4" s="445"/>
      <c r="P4" s="445"/>
      <c r="Q4" s="445"/>
      <c r="R4" s="445"/>
      <c r="S4" s="445"/>
      <c r="T4" s="445"/>
      <c r="U4" s="446"/>
      <c r="V4" s="438" t="s">
        <v>142</v>
      </c>
      <c r="W4" s="439"/>
      <c r="X4" s="439"/>
      <c r="Y4" s="439"/>
      <c r="Z4" s="439"/>
      <c r="AA4" s="440"/>
      <c r="AB4" s="439" t="s">
        <v>180</v>
      </c>
      <c r="AC4" s="439"/>
      <c r="AD4" s="439"/>
      <c r="AE4" s="439"/>
      <c r="AF4" s="439"/>
      <c r="AG4" s="464"/>
      <c r="AH4" s="454" t="s">
        <v>24</v>
      </c>
      <c r="AI4" s="455"/>
      <c r="AJ4" s="455"/>
      <c r="AK4" s="457"/>
      <c r="AL4" s="454" t="s">
        <v>108</v>
      </c>
      <c r="AM4" s="455"/>
      <c r="AN4" s="455"/>
      <c r="AO4" s="456"/>
      <c r="AP4" s="457"/>
      <c r="AQ4" s="441" t="s">
        <v>117</v>
      </c>
      <c r="AR4" s="442"/>
      <c r="AS4" s="442"/>
      <c r="AT4" s="442"/>
      <c r="AU4" s="442"/>
      <c r="AV4" s="443"/>
      <c r="AW4" s="84" t="s">
        <v>114</v>
      </c>
      <c r="AX4" s="84" t="s">
        <v>27</v>
      </c>
      <c r="AY4" s="429" t="s">
        <v>84</v>
      </c>
      <c r="AZ4" s="430"/>
    </row>
    <row r="5" spans="1:52" ht="18" customHeight="1" x14ac:dyDescent="0.15">
      <c r="A5" s="3"/>
      <c r="B5" s="452"/>
      <c r="C5" s="460"/>
      <c r="D5" s="448"/>
      <c r="E5" s="120" t="s">
        <v>21</v>
      </c>
      <c r="F5" s="83" t="s">
        <v>22</v>
      </c>
      <c r="G5" s="295" t="s">
        <v>73</v>
      </c>
      <c r="H5" s="296" t="s">
        <v>39</v>
      </c>
      <c r="I5" s="85" t="s">
        <v>30</v>
      </c>
      <c r="J5" s="82" t="s">
        <v>31</v>
      </c>
      <c r="K5" s="82" t="s">
        <v>32</v>
      </c>
      <c r="L5" s="85" t="s">
        <v>0</v>
      </c>
      <c r="M5" s="7" t="s">
        <v>137</v>
      </c>
      <c r="N5" s="86" t="s">
        <v>524</v>
      </c>
      <c r="O5" s="376" t="s">
        <v>5</v>
      </c>
      <c r="P5" s="82" t="s">
        <v>14</v>
      </c>
      <c r="Q5" s="82" t="s">
        <v>7</v>
      </c>
      <c r="R5" s="87" t="s">
        <v>102</v>
      </c>
      <c r="S5" s="88" t="s">
        <v>103</v>
      </c>
      <c r="T5" s="83" t="s">
        <v>86</v>
      </c>
      <c r="U5" s="7" t="s">
        <v>8</v>
      </c>
      <c r="V5" s="86" t="s">
        <v>3</v>
      </c>
      <c r="W5" s="82" t="s">
        <v>533</v>
      </c>
      <c r="X5" s="82" t="s">
        <v>534</v>
      </c>
      <c r="Y5" s="82" t="s">
        <v>535</v>
      </c>
      <c r="Z5" s="82" t="s">
        <v>536</v>
      </c>
      <c r="AA5" s="7" t="s">
        <v>9</v>
      </c>
      <c r="AB5" s="462" t="s">
        <v>147</v>
      </c>
      <c r="AC5" s="462"/>
      <c r="AD5" s="462" t="s">
        <v>148</v>
      </c>
      <c r="AE5" s="462"/>
      <c r="AF5" s="462" t="s">
        <v>149</v>
      </c>
      <c r="AG5" s="463"/>
      <c r="AH5" s="89" t="s">
        <v>15</v>
      </c>
      <c r="AI5" s="90" t="s">
        <v>16</v>
      </c>
      <c r="AJ5" s="90" t="s">
        <v>17</v>
      </c>
      <c r="AK5" s="91" t="s">
        <v>19</v>
      </c>
      <c r="AL5" s="92" t="s">
        <v>33</v>
      </c>
      <c r="AM5" s="54" t="s">
        <v>21</v>
      </c>
      <c r="AN5" s="54" t="s">
        <v>22</v>
      </c>
      <c r="AO5" s="247" t="s">
        <v>119</v>
      </c>
      <c r="AP5" s="31" t="s">
        <v>39</v>
      </c>
      <c r="AQ5" s="93" t="s">
        <v>115</v>
      </c>
      <c r="AR5" s="93" t="s">
        <v>26</v>
      </c>
      <c r="AS5" s="54" t="s">
        <v>21</v>
      </c>
      <c r="AT5" s="54" t="s">
        <v>22</v>
      </c>
      <c r="AU5" s="247" t="s">
        <v>119</v>
      </c>
      <c r="AV5" s="31" t="s">
        <v>39</v>
      </c>
      <c r="AW5" s="94"/>
      <c r="AX5" s="94"/>
      <c r="AY5" s="95"/>
      <c r="AZ5" s="171"/>
    </row>
    <row r="6" spans="1:52" ht="18" customHeight="1" x14ac:dyDescent="0.15">
      <c r="A6" s="3"/>
      <c r="B6" s="453"/>
      <c r="C6" s="461"/>
      <c r="D6" s="449"/>
      <c r="E6" s="8" t="s">
        <v>138</v>
      </c>
      <c r="F6" s="102" t="s">
        <v>121</v>
      </c>
      <c r="G6" s="297" t="s">
        <v>23</v>
      </c>
      <c r="H6" s="298" t="s">
        <v>97</v>
      </c>
      <c r="I6" s="11" t="s">
        <v>122</v>
      </c>
      <c r="J6" s="9" t="s">
        <v>122</v>
      </c>
      <c r="K6" s="9" t="s">
        <v>122</v>
      </c>
      <c r="L6" s="11" t="s">
        <v>123</v>
      </c>
      <c r="M6" s="173" t="s">
        <v>151</v>
      </c>
      <c r="N6" s="378"/>
      <c r="O6" s="8" t="s">
        <v>120</v>
      </c>
      <c r="P6" s="98" t="s">
        <v>120</v>
      </c>
      <c r="Q6" s="98" t="s">
        <v>28</v>
      </c>
      <c r="R6" s="98" t="s">
        <v>110</v>
      </c>
      <c r="S6" s="99" t="s">
        <v>110</v>
      </c>
      <c r="T6" s="98" t="s">
        <v>112</v>
      </c>
      <c r="U6" s="100" t="s">
        <v>11</v>
      </c>
      <c r="V6" s="97" t="s">
        <v>12</v>
      </c>
      <c r="W6" s="98" t="s">
        <v>12</v>
      </c>
      <c r="X6" s="98" t="s">
        <v>12</v>
      </c>
      <c r="Y6" s="98" t="s">
        <v>12</v>
      </c>
      <c r="Z6" s="98" t="s">
        <v>12</v>
      </c>
      <c r="AA6" s="100" t="s">
        <v>12</v>
      </c>
      <c r="AB6" s="98" t="s">
        <v>124</v>
      </c>
      <c r="AC6" s="98" t="s">
        <v>13</v>
      </c>
      <c r="AD6" s="98" t="s">
        <v>124</v>
      </c>
      <c r="AE6" s="98" t="s">
        <v>13</v>
      </c>
      <c r="AF6" s="98" t="s">
        <v>124</v>
      </c>
      <c r="AG6" s="101" t="s">
        <v>13</v>
      </c>
      <c r="AH6" s="10" t="s">
        <v>125</v>
      </c>
      <c r="AI6" s="9" t="s">
        <v>125</v>
      </c>
      <c r="AJ6" s="9" t="s">
        <v>18</v>
      </c>
      <c r="AK6" s="96" t="s">
        <v>20</v>
      </c>
      <c r="AL6" s="10" t="s">
        <v>126</v>
      </c>
      <c r="AM6" s="98" t="s">
        <v>127</v>
      </c>
      <c r="AN6" s="9" t="s">
        <v>128</v>
      </c>
      <c r="AO6" s="101" t="s">
        <v>130</v>
      </c>
      <c r="AP6" s="96" t="s">
        <v>129</v>
      </c>
      <c r="AQ6" s="103" t="s">
        <v>116</v>
      </c>
      <c r="AR6" s="103" t="s">
        <v>131</v>
      </c>
      <c r="AS6" s="98" t="s">
        <v>132</v>
      </c>
      <c r="AT6" s="9" t="s">
        <v>133</v>
      </c>
      <c r="AU6" s="101" t="s">
        <v>135</v>
      </c>
      <c r="AV6" s="96" t="s">
        <v>134</v>
      </c>
      <c r="AW6" s="104"/>
      <c r="AX6" s="105"/>
      <c r="AY6" s="10" t="s">
        <v>136</v>
      </c>
      <c r="AZ6" s="172" t="s">
        <v>150</v>
      </c>
    </row>
    <row r="7" spans="1:52" s="121" customFormat="1" ht="18" customHeight="1" x14ac:dyDescent="0.15">
      <c r="B7" s="174">
        <v>1</v>
      </c>
      <c r="C7" s="156"/>
      <c r="D7" s="184"/>
      <c r="E7" s="159"/>
      <c r="F7" s="185"/>
      <c r="G7" s="300" t="str">
        <f>IF(F7=0,"**",entaru(E7,F7))</f>
        <v>**</v>
      </c>
      <c r="H7" s="301" t="str">
        <f>IF(F7=0,"**",hizyu(E7,F7))</f>
        <v>**</v>
      </c>
      <c r="I7" s="339"/>
      <c r="J7" s="337"/>
      <c r="K7" s="340"/>
      <c r="L7" s="338" t="str">
        <f>IF(I7*J7=0,"**",I7*J7)</f>
        <v>**</v>
      </c>
      <c r="M7" s="188" t="str">
        <f>IFERROR(IF(L7*K7=0,"**",L7*K7),"**")</f>
        <v>**</v>
      </c>
      <c r="N7" s="379"/>
      <c r="O7" s="377"/>
      <c r="P7" s="190"/>
      <c r="Q7" s="191"/>
      <c r="R7" s="192" t="e">
        <f>VLOOKUP($N7,table01[],7,FALSE)</f>
        <v>#N/A</v>
      </c>
      <c r="S7" s="192" t="e">
        <f>VLOOKUP($N7,table01[],8,FALSE)</f>
        <v>#N/A</v>
      </c>
      <c r="T7" s="192" t="e">
        <f>VLOOKUP($N7,table01[],9,FALSE)</f>
        <v>#N/A</v>
      </c>
      <c r="U7" s="193"/>
      <c r="V7" s="194"/>
      <c r="W7" s="30"/>
      <c r="X7" s="30"/>
      <c r="Y7" s="30"/>
      <c r="Z7" s="30"/>
      <c r="AA7" s="195"/>
      <c r="AB7" s="30"/>
      <c r="AC7" s="30"/>
      <c r="AD7" s="196"/>
      <c r="AE7" s="30"/>
      <c r="AF7" s="30"/>
      <c r="AG7" s="197"/>
      <c r="AH7" s="189"/>
      <c r="AI7" s="190"/>
      <c r="AJ7" s="190"/>
      <c r="AK7" s="198"/>
      <c r="AL7" s="199"/>
      <c r="AM7" s="30"/>
      <c r="AN7" s="30"/>
      <c r="AO7" s="203" t="str">
        <f>IF(F7=0,"**",entaru(AM7,AN7))</f>
        <v>**</v>
      </c>
      <c r="AP7" s="204" t="str">
        <f>IF(F7=0,"**",hizyu(AM7,AN7))</f>
        <v>**</v>
      </c>
      <c r="AQ7" s="200"/>
      <c r="AR7" s="201"/>
      <c r="AS7" s="202"/>
      <c r="AT7" s="202"/>
      <c r="AU7" s="203" t="str">
        <f>IF(F7=0,"**",entaru(AS7,AT7))</f>
        <v>**</v>
      </c>
      <c r="AV7" s="204" t="str">
        <f>IF(F7=0,"**",hizyu(AS7,AT7))</f>
        <v>**</v>
      </c>
      <c r="AW7" s="205"/>
      <c r="AX7" s="206">
        <v>1.1000000000000001</v>
      </c>
      <c r="AY7" s="207"/>
      <c r="AZ7" s="208" t="str">
        <f>IFERROR(#REF!*860,"")</f>
        <v/>
      </c>
    </row>
    <row r="8" spans="1:52" s="121" customFormat="1" ht="18" customHeight="1" x14ac:dyDescent="0.15">
      <c r="B8" s="178">
        <v>2</v>
      </c>
      <c r="C8" s="179"/>
      <c r="D8" s="209"/>
      <c r="E8" s="180"/>
      <c r="F8" s="210"/>
      <c r="G8" s="302" t="str">
        <f>IF(F8=0,"**",entaru(E8,F8))</f>
        <v>**</v>
      </c>
      <c r="H8" s="303" t="str">
        <f>IF(F8=0,"**",hizyu(E8,F8))</f>
        <v>**</v>
      </c>
      <c r="I8" s="212"/>
      <c r="J8" s="213"/>
      <c r="K8" s="213"/>
      <c r="L8" s="212" t="str">
        <f t="shared" ref="L8:L21" si="0">IF(I8*J8=0,"**",I8*J8)</f>
        <v>**</v>
      </c>
      <c r="M8" s="214" t="str">
        <f t="shared" ref="M8:M21" si="1">IFERROR(IF(L8*K8=0,"**",L8*K8),"**")</f>
        <v>**</v>
      </c>
      <c r="N8" s="380"/>
      <c r="O8" s="223"/>
      <c r="P8" s="216"/>
      <c r="Q8" s="217"/>
      <c r="R8" s="218" t="e">
        <f>VLOOKUP($N8,table01[],7,FALSE)</f>
        <v>#N/A</v>
      </c>
      <c r="S8" s="211" t="e">
        <f>VLOOKUP($N8,table01[],8,FALSE)</f>
        <v>#N/A</v>
      </c>
      <c r="T8" s="219" t="e">
        <f>VLOOKUP($N8,table01[],9,FALSE)</f>
        <v>#N/A</v>
      </c>
      <c r="U8" s="220"/>
      <c r="V8" s="215"/>
      <c r="W8" s="216"/>
      <c r="X8" s="216"/>
      <c r="Y8" s="216"/>
      <c r="Z8" s="216"/>
      <c r="AA8" s="220"/>
      <c r="AB8" s="216"/>
      <c r="AC8" s="216"/>
      <c r="AD8" s="221"/>
      <c r="AE8" s="216"/>
      <c r="AF8" s="216"/>
      <c r="AG8" s="219"/>
      <c r="AH8" s="215"/>
      <c r="AI8" s="216"/>
      <c r="AJ8" s="216"/>
      <c r="AK8" s="220"/>
      <c r="AL8" s="222"/>
      <c r="AM8" s="216"/>
      <c r="AN8" s="216"/>
      <c r="AO8" s="219" t="str">
        <f>IF(F8=0,"**",entaru(AM8,AN8))</f>
        <v>**</v>
      </c>
      <c r="AP8" s="220" t="str">
        <f>IF(F8=0,"**",hizyu(AM8,AN8))</f>
        <v>**</v>
      </c>
      <c r="AQ8" s="215"/>
      <c r="AR8" s="223"/>
      <c r="AS8" s="216"/>
      <c r="AT8" s="216"/>
      <c r="AU8" s="219" t="str">
        <f>IF(F8=0,"**",entaru(AS8,AT8))</f>
        <v>**</v>
      </c>
      <c r="AV8" s="220" t="str">
        <f>IF(F8=0,"**",hizyu(AS8,AT8))</f>
        <v>**</v>
      </c>
      <c r="AW8" s="224"/>
      <c r="AX8" s="224">
        <v>1.1000000000000001</v>
      </c>
      <c r="AY8" s="225"/>
      <c r="AZ8" s="226" t="str">
        <f>IFERROR(#REF!*860,"")</f>
        <v/>
      </c>
    </row>
    <row r="9" spans="1:52" s="121" customFormat="1" ht="18" customHeight="1" x14ac:dyDescent="0.15">
      <c r="B9" s="175">
        <v>3</v>
      </c>
      <c r="C9" s="157"/>
      <c r="D9" s="227"/>
      <c r="E9" s="158"/>
      <c r="F9" s="228"/>
      <c r="G9" s="304" t="str">
        <f>IF(F9=0,"**",entaru(E9,F9))</f>
        <v>**</v>
      </c>
      <c r="H9" s="305" t="str">
        <f>IF(F9=0,"**",hizyu(E9,F9))</f>
        <v>**</v>
      </c>
      <c r="I9" s="187"/>
      <c r="J9" s="186"/>
      <c r="K9" s="186"/>
      <c r="L9" s="187" t="str">
        <f t="shared" si="0"/>
        <v>**</v>
      </c>
      <c r="M9" s="188" t="str">
        <f t="shared" si="1"/>
        <v>**</v>
      </c>
      <c r="N9" s="381"/>
      <c r="O9" s="231"/>
      <c r="P9" s="30"/>
      <c r="Q9" s="191"/>
      <c r="R9" s="230" t="e">
        <f>VLOOKUP($N9,table01[],7,FALSE)</f>
        <v>#N/A</v>
      </c>
      <c r="S9" s="229" t="e">
        <f>VLOOKUP($N9,table01[],8,FALSE)</f>
        <v>#N/A</v>
      </c>
      <c r="T9" s="197" t="e">
        <f>VLOOKUP($N9,table01[],9,FALSE)</f>
        <v>#N/A</v>
      </c>
      <c r="U9" s="195"/>
      <c r="V9" s="194"/>
      <c r="W9" s="30"/>
      <c r="X9" s="30"/>
      <c r="Y9" s="30"/>
      <c r="Z9" s="30"/>
      <c r="AA9" s="195"/>
      <c r="AB9" s="30"/>
      <c r="AC9" s="30"/>
      <c r="AD9" s="196"/>
      <c r="AE9" s="30"/>
      <c r="AF9" s="30"/>
      <c r="AG9" s="197"/>
      <c r="AH9" s="194"/>
      <c r="AI9" s="30"/>
      <c r="AJ9" s="30"/>
      <c r="AK9" s="195"/>
      <c r="AL9" s="199"/>
      <c r="AM9" s="30"/>
      <c r="AN9" s="30"/>
      <c r="AO9" s="197" t="str">
        <f>IF(F9=0,"**",entaru(AM9,AN9))</f>
        <v>**</v>
      </c>
      <c r="AP9" s="195" t="str">
        <f>IF(F9=0,"**",hizyu(AM9,AN9))</f>
        <v>**</v>
      </c>
      <c r="AQ9" s="194"/>
      <c r="AR9" s="231"/>
      <c r="AS9" s="232"/>
      <c r="AT9" s="232"/>
      <c r="AU9" s="233" t="str">
        <f>IF(F9=0,"**",entaru(AS9,AT9))</f>
        <v>**</v>
      </c>
      <c r="AV9" s="234" t="str">
        <f>IF(F9=0,"**",hizyu(AS9,AT9))</f>
        <v>**</v>
      </c>
      <c r="AW9" s="235"/>
      <c r="AX9" s="236">
        <v>1.1000000000000001</v>
      </c>
      <c r="AY9" s="207"/>
      <c r="AZ9" s="237" t="str">
        <f>IFERROR(#REF!*860,"")</f>
        <v/>
      </c>
    </row>
    <row r="10" spans="1:52" s="121" customFormat="1" ht="18" customHeight="1" x14ac:dyDescent="0.15">
      <c r="B10" s="178">
        <v>4</v>
      </c>
      <c r="C10" s="179"/>
      <c r="D10" s="209"/>
      <c r="E10" s="180"/>
      <c r="F10" s="210"/>
      <c r="G10" s="302" t="str">
        <f>IF(F10=0,"**",entaru(E10,F10))</f>
        <v>**</v>
      </c>
      <c r="H10" s="303" t="str">
        <f>IF(F10=0,"**",hizyu(E10,F10))</f>
        <v>**</v>
      </c>
      <c r="I10" s="212"/>
      <c r="J10" s="213"/>
      <c r="K10" s="213"/>
      <c r="L10" s="212" t="str">
        <f t="shared" si="0"/>
        <v>**</v>
      </c>
      <c r="M10" s="214" t="str">
        <f t="shared" si="1"/>
        <v>**</v>
      </c>
      <c r="N10" s="380"/>
      <c r="O10" s="223"/>
      <c r="P10" s="216"/>
      <c r="Q10" s="217"/>
      <c r="R10" s="218" t="e">
        <f>VLOOKUP($N10,table01[],7,FALSE)</f>
        <v>#N/A</v>
      </c>
      <c r="S10" s="211" t="e">
        <f>VLOOKUP($N10,table01[],8,FALSE)</f>
        <v>#N/A</v>
      </c>
      <c r="T10" s="219" t="e">
        <f>VLOOKUP($N10,table01[],9,FALSE)</f>
        <v>#N/A</v>
      </c>
      <c r="U10" s="220"/>
      <c r="V10" s="215"/>
      <c r="W10" s="216"/>
      <c r="X10" s="216"/>
      <c r="Y10" s="216"/>
      <c r="Z10" s="216"/>
      <c r="AA10" s="220"/>
      <c r="AB10" s="216"/>
      <c r="AC10" s="216"/>
      <c r="AD10" s="221"/>
      <c r="AE10" s="216"/>
      <c r="AF10" s="216"/>
      <c r="AG10" s="219"/>
      <c r="AH10" s="215"/>
      <c r="AI10" s="216"/>
      <c r="AJ10" s="216"/>
      <c r="AK10" s="220"/>
      <c r="AL10" s="222"/>
      <c r="AM10" s="216"/>
      <c r="AN10" s="216"/>
      <c r="AO10" s="219" t="str">
        <f>IF(F10=0,"**",entaru(AM10,AN10))</f>
        <v>**</v>
      </c>
      <c r="AP10" s="220" t="str">
        <f>IF(F10=0,"**",hizyu(AM10,AN10))</f>
        <v>**</v>
      </c>
      <c r="AQ10" s="238"/>
      <c r="AR10" s="239"/>
      <c r="AS10" s="240"/>
      <c r="AT10" s="240"/>
      <c r="AU10" s="241" t="str">
        <f>IF(F10=0,"**",entaru(AS10,AT10))</f>
        <v>**</v>
      </c>
      <c r="AV10" s="242" t="str">
        <f>IF(F10=0,"**",hizyu(AS10,AT10))</f>
        <v>**</v>
      </c>
      <c r="AW10" s="243"/>
      <c r="AX10" s="224">
        <v>1.1000000000000001</v>
      </c>
      <c r="AY10" s="225"/>
      <c r="AZ10" s="226" t="str">
        <f>IFERROR(#REF!*860,"")</f>
        <v/>
      </c>
    </row>
    <row r="11" spans="1:52" s="121" customFormat="1" ht="18" customHeight="1" x14ac:dyDescent="0.15">
      <c r="B11" s="175">
        <v>5</v>
      </c>
      <c r="C11" s="157"/>
      <c r="D11" s="227"/>
      <c r="E11" s="158"/>
      <c r="F11" s="228"/>
      <c r="G11" s="304" t="str">
        <f>IF(F11=0,"**",entaru(E11,F11))</f>
        <v>**</v>
      </c>
      <c r="H11" s="305" t="str">
        <f>IF(F11=0,"**",hizyu(E11,F11))</f>
        <v>**</v>
      </c>
      <c r="I11" s="187"/>
      <c r="J11" s="186"/>
      <c r="K11" s="186"/>
      <c r="L11" s="187" t="str">
        <f t="shared" si="0"/>
        <v>**</v>
      </c>
      <c r="M11" s="188" t="str">
        <f t="shared" si="1"/>
        <v>**</v>
      </c>
      <c r="N11" s="381"/>
      <c r="O11" s="231"/>
      <c r="P11" s="30"/>
      <c r="Q11" s="191"/>
      <c r="R11" s="230" t="e">
        <f>VLOOKUP($N11,table01[],7,FALSE)</f>
        <v>#N/A</v>
      </c>
      <c r="S11" s="229" t="e">
        <f>VLOOKUP($N11,table01[],8,FALSE)</f>
        <v>#N/A</v>
      </c>
      <c r="T11" s="197" t="e">
        <f>VLOOKUP($N11,table01[],9,FALSE)</f>
        <v>#N/A</v>
      </c>
      <c r="U11" s="195"/>
      <c r="V11" s="194"/>
      <c r="W11" s="30"/>
      <c r="X11" s="30"/>
      <c r="Y11" s="30"/>
      <c r="Z11" s="30"/>
      <c r="AA11" s="195"/>
      <c r="AB11" s="30"/>
      <c r="AC11" s="30"/>
      <c r="AD11" s="196"/>
      <c r="AE11" s="30"/>
      <c r="AF11" s="30"/>
      <c r="AG11" s="197"/>
      <c r="AH11" s="194"/>
      <c r="AI11" s="30"/>
      <c r="AJ11" s="30"/>
      <c r="AK11" s="195"/>
      <c r="AL11" s="199"/>
      <c r="AM11" s="30"/>
      <c r="AN11" s="30"/>
      <c r="AO11" s="197" t="str">
        <f>IF(F11=0,"**",entaru(AM11,AN11))</f>
        <v>**</v>
      </c>
      <c r="AP11" s="195" t="str">
        <f>IF(F11=0,"**",hizyu(AM11,AN11))</f>
        <v>**</v>
      </c>
      <c r="AQ11" s="194"/>
      <c r="AR11" s="231"/>
      <c r="AS11" s="232"/>
      <c r="AT11" s="232"/>
      <c r="AU11" s="233" t="str">
        <f>IF(F11=0,"**",entaru(AS11,AT11))</f>
        <v>**</v>
      </c>
      <c r="AV11" s="234" t="str">
        <f>IF(F11=0,"**",hizyu(AS11,AT11))</f>
        <v>**</v>
      </c>
      <c r="AW11" s="235"/>
      <c r="AX11" s="236">
        <v>1.1000000000000001</v>
      </c>
      <c r="AY11" s="207"/>
      <c r="AZ11" s="237" t="str">
        <f>IFERROR(#REF!*860,"")</f>
        <v/>
      </c>
    </row>
    <row r="12" spans="1:52" s="121" customFormat="1" ht="18" customHeight="1" x14ac:dyDescent="0.15">
      <c r="B12" s="178">
        <v>6</v>
      </c>
      <c r="C12" s="179"/>
      <c r="D12" s="209"/>
      <c r="E12" s="180"/>
      <c r="F12" s="210"/>
      <c r="G12" s="302" t="str">
        <f>IF(F12=0,"**",entaru(E12,F12))</f>
        <v>**</v>
      </c>
      <c r="H12" s="303" t="str">
        <f>IF(F12=0,"**",hizyu(E12,F12))</f>
        <v>**</v>
      </c>
      <c r="I12" s="212"/>
      <c r="J12" s="213"/>
      <c r="K12" s="213"/>
      <c r="L12" s="212" t="str">
        <f t="shared" si="0"/>
        <v>**</v>
      </c>
      <c r="M12" s="214" t="str">
        <f t="shared" si="1"/>
        <v>**</v>
      </c>
      <c r="N12" s="380"/>
      <c r="O12" s="223"/>
      <c r="P12" s="216"/>
      <c r="Q12" s="217"/>
      <c r="R12" s="218" t="e">
        <f>VLOOKUP($N12,table01[],7,FALSE)</f>
        <v>#N/A</v>
      </c>
      <c r="S12" s="211" t="e">
        <f>VLOOKUP($N12,table01[],8,FALSE)</f>
        <v>#N/A</v>
      </c>
      <c r="T12" s="219" t="e">
        <f>VLOOKUP($N12,table01[],9,FALSE)</f>
        <v>#N/A</v>
      </c>
      <c r="U12" s="220"/>
      <c r="V12" s="215"/>
      <c r="W12" s="216"/>
      <c r="X12" s="216"/>
      <c r="Y12" s="216"/>
      <c r="Z12" s="216"/>
      <c r="AA12" s="220"/>
      <c r="AB12" s="216"/>
      <c r="AC12" s="216"/>
      <c r="AD12" s="221"/>
      <c r="AE12" s="216"/>
      <c r="AF12" s="216"/>
      <c r="AG12" s="219"/>
      <c r="AH12" s="215"/>
      <c r="AI12" s="216"/>
      <c r="AJ12" s="216"/>
      <c r="AK12" s="220"/>
      <c r="AL12" s="222"/>
      <c r="AM12" s="216"/>
      <c r="AN12" s="216"/>
      <c r="AO12" s="219" t="str">
        <f>IF(F12=0,"**",entaru(AM12,AN12))</f>
        <v>**</v>
      </c>
      <c r="AP12" s="220" t="str">
        <f>IF(F12=0,"**",hizyu(AM12,AN12))</f>
        <v>**</v>
      </c>
      <c r="AQ12" s="238"/>
      <c r="AR12" s="239"/>
      <c r="AS12" s="240"/>
      <c r="AT12" s="240"/>
      <c r="AU12" s="241" t="str">
        <f>IF(F12=0,"**",entaru(AS12,AT12))</f>
        <v>**</v>
      </c>
      <c r="AV12" s="242" t="str">
        <f>IF(F12=0,"**",hizyu(AS12,AT12))</f>
        <v>**</v>
      </c>
      <c r="AW12" s="243"/>
      <c r="AX12" s="224">
        <v>1.1000000000000001</v>
      </c>
      <c r="AY12" s="225"/>
      <c r="AZ12" s="226" t="str">
        <f>IFERROR(#REF!*860,"")</f>
        <v/>
      </c>
    </row>
    <row r="13" spans="1:52" s="121" customFormat="1" ht="18" customHeight="1" x14ac:dyDescent="0.15">
      <c r="B13" s="175">
        <v>7</v>
      </c>
      <c r="C13" s="157"/>
      <c r="D13" s="227"/>
      <c r="E13" s="158"/>
      <c r="F13" s="228"/>
      <c r="G13" s="304" t="str">
        <f>IF(F13=0,"**",entaru(E13,F13))</f>
        <v>**</v>
      </c>
      <c r="H13" s="305" t="str">
        <f>IF(F13=0,"**",hizyu(E13,F13))</f>
        <v>**</v>
      </c>
      <c r="I13" s="187"/>
      <c r="J13" s="186"/>
      <c r="K13" s="186"/>
      <c r="L13" s="187" t="str">
        <f t="shared" si="0"/>
        <v>**</v>
      </c>
      <c r="M13" s="188" t="str">
        <f t="shared" si="1"/>
        <v>**</v>
      </c>
      <c r="N13" s="381"/>
      <c r="O13" s="231"/>
      <c r="P13" s="30"/>
      <c r="Q13" s="191"/>
      <c r="R13" s="230" t="e">
        <f>VLOOKUP($N13,table01[],7,FALSE)</f>
        <v>#N/A</v>
      </c>
      <c r="S13" s="229" t="e">
        <f>VLOOKUP($N13,table01[],8,FALSE)</f>
        <v>#N/A</v>
      </c>
      <c r="T13" s="197" t="e">
        <f>VLOOKUP($N13,table01[],9,FALSE)</f>
        <v>#N/A</v>
      </c>
      <c r="U13" s="195"/>
      <c r="V13" s="194"/>
      <c r="W13" s="30"/>
      <c r="X13" s="30"/>
      <c r="Y13" s="30"/>
      <c r="Z13" s="30"/>
      <c r="AA13" s="195"/>
      <c r="AB13" s="30"/>
      <c r="AC13" s="30"/>
      <c r="AD13" s="196"/>
      <c r="AE13" s="30"/>
      <c r="AF13" s="30"/>
      <c r="AG13" s="197"/>
      <c r="AH13" s="194"/>
      <c r="AI13" s="30"/>
      <c r="AJ13" s="30"/>
      <c r="AK13" s="195"/>
      <c r="AL13" s="199"/>
      <c r="AM13" s="30"/>
      <c r="AN13" s="30"/>
      <c r="AO13" s="197" t="str">
        <f>IF(F13=0,"**",entaru(AM13,AN13))</f>
        <v>**</v>
      </c>
      <c r="AP13" s="195" t="str">
        <f>IF(F13=0,"**",hizyu(AM13,AN13))</f>
        <v>**</v>
      </c>
      <c r="AQ13" s="194"/>
      <c r="AR13" s="231"/>
      <c r="AS13" s="232"/>
      <c r="AT13" s="232"/>
      <c r="AU13" s="233" t="str">
        <f>IF(F13=0,"**",entaru(AS13,AT13))</f>
        <v>**</v>
      </c>
      <c r="AV13" s="234" t="str">
        <f>IF(F13=0,"**",hizyu(AS13,AT13))</f>
        <v>**</v>
      </c>
      <c r="AW13" s="235"/>
      <c r="AX13" s="236">
        <v>1.1000000000000001</v>
      </c>
      <c r="AY13" s="207"/>
      <c r="AZ13" s="237" t="str">
        <f>IFERROR(#REF!*860,"")</f>
        <v/>
      </c>
    </row>
    <row r="14" spans="1:52" s="121" customFormat="1" ht="18" customHeight="1" x14ac:dyDescent="0.15">
      <c r="B14" s="178">
        <v>8</v>
      </c>
      <c r="C14" s="179"/>
      <c r="D14" s="209"/>
      <c r="E14" s="180"/>
      <c r="F14" s="210"/>
      <c r="G14" s="302" t="str">
        <f>IF(F14=0,"**",entaru(E14,F14))</f>
        <v>**</v>
      </c>
      <c r="H14" s="303" t="str">
        <f>IF(F14=0,"**",hizyu(E14,F14))</f>
        <v>**</v>
      </c>
      <c r="I14" s="212"/>
      <c r="J14" s="213"/>
      <c r="K14" s="213"/>
      <c r="L14" s="212" t="str">
        <f t="shared" si="0"/>
        <v>**</v>
      </c>
      <c r="M14" s="214" t="str">
        <f t="shared" si="1"/>
        <v>**</v>
      </c>
      <c r="N14" s="380"/>
      <c r="O14" s="223"/>
      <c r="P14" s="216"/>
      <c r="Q14" s="217"/>
      <c r="R14" s="218" t="e">
        <f>VLOOKUP($N14,table01[],7,FALSE)</f>
        <v>#N/A</v>
      </c>
      <c r="S14" s="211" t="e">
        <f>VLOOKUP($N14,table01[],8,FALSE)</f>
        <v>#N/A</v>
      </c>
      <c r="T14" s="219" t="e">
        <f>VLOOKUP($N14,table01[],9,FALSE)</f>
        <v>#N/A</v>
      </c>
      <c r="U14" s="220"/>
      <c r="V14" s="215"/>
      <c r="W14" s="216"/>
      <c r="X14" s="216"/>
      <c r="Y14" s="216"/>
      <c r="Z14" s="216"/>
      <c r="AA14" s="220"/>
      <c r="AB14" s="216"/>
      <c r="AC14" s="216"/>
      <c r="AD14" s="221"/>
      <c r="AE14" s="216"/>
      <c r="AF14" s="216"/>
      <c r="AG14" s="219"/>
      <c r="AH14" s="215"/>
      <c r="AI14" s="216"/>
      <c r="AJ14" s="216"/>
      <c r="AK14" s="220"/>
      <c r="AL14" s="222"/>
      <c r="AM14" s="216"/>
      <c r="AN14" s="216"/>
      <c r="AO14" s="219" t="str">
        <f>IF(F14=0,"**",entaru(AM14,AN14))</f>
        <v>**</v>
      </c>
      <c r="AP14" s="220" t="str">
        <f>IF(F14=0,"**",hizyu(AM14,AN14))</f>
        <v>**</v>
      </c>
      <c r="AQ14" s="238"/>
      <c r="AR14" s="239"/>
      <c r="AS14" s="240"/>
      <c r="AT14" s="240"/>
      <c r="AU14" s="241" t="str">
        <f>IF(F14=0,"**",entaru(AS14,AT14))</f>
        <v>**</v>
      </c>
      <c r="AV14" s="242" t="str">
        <f>IF(F14=0,"**",hizyu(AS14,AT14))</f>
        <v>**</v>
      </c>
      <c r="AW14" s="243"/>
      <c r="AX14" s="224">
        <v>1.1000000000000001</v>
      </c>
      <c r="AY14" s="225"/>
      <c r="AZ14" s="226" t="str">
        <f>IFERROR(#REF!*860,"")</f>
        <v/>
      </c>
    </row>
    <row r="15" spans="1:52" s="121" customFormat="1" ht="18" customHeight="1" x14ac:dyDescent="0.15">
      <c r="B15" s="175">
        <v>9</v>
      </c>
      <c r="C15" s="157"/>
      <c r="D15" s="227"/>
      <c r="E15" s="158"/>
      <c r="F15" s="228"/>
      <c r="G15" s="304" t="str">
        <f>IF(F15=0,"**",entaru(E15,F15))</f>
        <v>**</v>
      </c>
      <c r="H15" s="305" t="str">
        <f>IF(F15=0,"**",hizyu(E15,F15))</f>
        <v>**</v>
      </c>
      <c r="I15" s="187"/>
      <c r="J15" s="186"/>
      <c r="K15" s="186"/>
      <c r="L15" s="187" t="str">
        <f t="shared" si="0"/>
        <v>**</v>
      </c>
      <c r="M15" s="188" t="str">
        <f t="shared" si="1"/>
        <v>**</v>
      </c>
      <c r="N15" s="381"/>
      <c r="O15" s="231"/>
      <c r="P15" s="30"/>
      <c r="Q15" s="191"/>
      <c r="R15" s="230" t="e">
        <f>VLOOKUP($N15,table01[],7,FALSE)</f>
        <v>#N/A</v>
      </c>
      <c r="S15" s="229" t="e">
        <f>VLOOKUP($N15,table01[],8,FALSE)</f>
        <v>#N/A</v>
      </c>
      <c r="T15" s="197" t="e">
        <f>VLOOKUP($N15,table01[],9,FALSE)</f>
        <v>#N/A</v>
      </c>
      <c r="U15" s="195"/>
      <c r="V15" s="194"/>
      <c r="W15" s="30"/>
      <c r="X15" s="30"/>
      <c r="Y15" s="30"/>
      <c r="Z15" s="30"/>
      <c r="AA15" s="195"/>
      <c r="AB15" s="30"/>
      <c r="AC15" s="30"/>
      <c r="AD15" s="196"/>
      <c r="AE15" s="30"/>
      <c r="AF15" s="30"/>
      <c r="AG15" s="197"/>
      <c r="AH15" s="194"/>
      <c r="AI15" s="30"/>
      <c r="AJ15" s="30"/>
      <c r="AK15" s="195"/>
      <c r="AL15" s="199"/>
      <c r="AM15" s="30"/>
      <c r="AN15" s="30"/>
      <c r="AO15" s="197" t="str">
        <f>IF(F15=0,"**",entaru(AM15,AN15))</f>
        <v>**</v>
      </c>
      <c r="AP15" s="195" t="str">
        <f>IF(F15=0,"**",hizyu(AM15,AN15))</f>
        <v>**</v>
      </c>
      <c r="AQ15" s="194"/>
      <c r="AR15" s="231"/>
      <c r="AS15" s="232"/>
      <c r="AT15" s="232"/>
      <c r="AU15" s="233" t="str">
        <f>IF(F15=0,"**",entaru(AS15,AT15))</f>
        <v>**</v>
      </c>
      <c r="AV15" s="234" t="str">
        <f>IF(F15=0,"**",hizyu(AS15,AT15))</f>
        <v>**</v>
      </c>
      <c r="AW15" s="235"/>
      <c r="AX15" s="236">
        <v>1.1000000000000001</v>
      </c>
      <c r="AY15" s="207"/>
      <c r="AZ15" s="237" t="str">
        <f>IFERROR(#REF!*860,"")</f>
        <v/>
      </c>
    </row>
    <row r="16" spans="1:52" s="121" customFormat="1" ht="18" customHeight="1" x14ac:dyDescent="0.15">
      <c r="B16" s="178">
        <v>10</v>
      </c>
      <c r="C16" s="179"/>
      <c r="D16" s="209"/>
      <c r="E16" s="180"/>
      <c r="F16" s="210"/>
      <c r="G16" s="302" t="str">
        <f>IF(F16=0,"**",entaru(E16,F16))</f>
        <v>**</v>
      </c>
      <c r="H16" s="303" t="str">
        <f>IF(F16=0,"**",hizyu(E16,F16))</f>
        <v>**</v>
      </c>
      <c r="I16" s="212"/>
      <c r="J16" s="213"/>
      <c r="K16" s="213"/>
      <c r="L16" s="212" t="str">
        <f t="shared" si="0"/>
        <v>**</v>
      </c>
      <c r="M16" s="214" t="str">
        <f t="shared" si="1"/>
        <v>**</v>
      </c>
      <c r="N16" s="380"/>
      <c r="O16" s="223"/>
      <c r="P16" s="216"/>
      <c r="Q16" s="217"/>
      <c r="R16" s="218" t="e">
        <f>VLOOKUP($N16,table01[],7,FALSE)</f>
        <v>#N/A</v>
      </c>
      <c r="S16" s="211" t="e">
        <f>VLOOKUP($N16,table01[],8,FALSE)</f>
        <v>#N/A</v>
      </c>
      <c r="T16" s="219" t="e">
        <f>VLOOKUP($N16,table01[],9,FALSE)</f>
        <v>#N/A</v>
      </c>
      <c r="U16" s="220"/>
      <c r="V16" s="215"/>
      <c r="W16" s="216"/>
      <c r="X16" s="216"/>
      <c r="Y16" s="216"/>
      <c r="Z16" s="216"/>
      <c r="AA16" s="220"/>
      <c r="AB16" s="216"/>
      <c r="AC16" s="216"/>
      <c r="AD16" s="221"/>
      <c r="AE16" s="216"/>
      <c r="AF16" s="216"/>
      <c r="AG16" s="219"/>
      <c r="AH16" s="215"/>
      <c r="AI16" s="216"/>
      <c r="AJ16" s="216"/>
      <c r="AK16" s="220"/>
      <c r="AL16" s="222"/>
      <c r="AM16" s="216"/>
      <c r="AN16" s="216"/>
      <c r="AO16" s="219" t="str">
        <f>IF(F16=0,"**",entaru(AM16,AN16))</f>
        <v>**</v>
      </c>
      <c r="AP16" s="220" t="str">
        <f>IF(F16=0,"**",hizyu(AM16,AN16))</f>
        <v>**</v>
      </c>
      <c r="AQ16" s="238"/>
      <c r="AR16" s="239"/>
      <c r="AS16" s="240"/>
      <c r="AT16" s="240"/>
      <c r="AU16" s="241" t="str">
        <f>IF(F16=0,"**",entaru(AS16,AT16))</f>
        <v>**</v>
      </c>
      <c r="AV16" s="242" t="str">
        <f>IF(F16=0,"**",hizyu(AS16,AT16))</f>
        <v>**</v>
      </c>
      <c r="AW16" s="243"/>
      <c r="AX16" s="224">
        <v>1.1000000000000001</v>
      </c>
      <c r="AY16" s="225"/>
      <c r="AZ16" s="226" t="str">
        <f>IFERROR(#REF!*860,"")</f>
        <v/>
      </c>
    </row>
    <row r="17" spans="2:53" ht="18" customHeight="1" x14ac:dyDescent="0.15">
      <c r="B17" s="175">
        <v>11</v>
      </c>
      <c r="C17" s="157"/>
      <c r="D17" s="227"/>
      <c r="E17" s="158"/>
      <c r="F17" s="228"/>
      <c r="G17" s="304" t="str">
        <f>IF(F17=0,"**",entaru(E17,F17))</f>
        <v>**</v>
      </c>
      <c r="H17" s="305" t="str">
        <f>IF(F17=0,"**",hizyu(E17,F17))</f>
        <v>**</v>
      </c>
      <c r="I17" s="187"/>
      <c r="J17" s="186"/>
      <c r="K17" s="186"/>
      <c r="L17" s="187" t="str">
        <f t="shared" si="0"/>
        <v>**</v>
      </c>
      <c r="M17" s="188" t="str">
        <f t="shared" si="1"/>
        <v>**</v>
      </c>
      <c r="N17" s="381"/>
      <c r="O17" s="231"/>
      <c r="P17" s="30"/>
      <c r="Q17" s="191"/>
      <c r="R17" s="230" t="e">
        <f>VLOOKUP($N17,table01[],7,FALSE)</f>
        <v>#N/A</v>
      </c>
      <c r="S17" s="229" t="e">
        <f>VLOOKUP($N17,table01[],8,FALSE)</f>
        <v>#N/A</v>
      </c>
      <c r="T17" s="197" t="e">
        <f>VLOOKUP($N17,table01[],9,FALSE)</f>
        <v>#N/A</v>
      </c>
      <c r="U17" s="195"/>
      <c r="V17" s="194"/>
      <c r="W17" s="30"/>
      <c r="X17" s="30"/>
      <c r="Y17" s="30"/>
      <c r="Z17" s="30"/>
      <c r="AA17" s="195"/>
      <c r="AB17" s="30"/>
      <c r="AC17" s="30"/>
      <c r="AD17" s="196"/>
      <c r="AE17" s="30"/>
      <c r="AF17" s="30"/>
      <c r="AG17" s="197"/>
      <c r="AH17" s="194"/>
      <c r="AI17" s="30"/>
      <c r="AJ17" s="30"/>
      <c r="AK17" s="195"/>
      <c r="AL17" s="199"/>
      <c r="AM17" s="30"/>
      <c r="AN17" s="30"/>
      <c r="AO17" s="197" t="str">
        <f>IF(F17=0,"**",entaru(AM17,AN17))</f>
        <v>**</v>
      </c>
      <c r="AP17" s="195" t="str">
        <f>IF(F17=0,"**",hizyu(AM17,AN17))</f>
        <v>**</v>
      </c>
      <c r="AQ17" s="194"/>
      <c r="AR17" s="231"/>
      <c r="AS17" s="232"/>
      <c r="AT17" s="232"/>
      <c r="AU17" s="233" t="str">
        <f>IF(F17=0,"**",entaru(AS17,AT17))</f>
        <v>**</v>
      </c>
      <c r="AV17" s="234" t="str">
        <f>IF(F17=0,"**",hizyu(AS17,AT17))</f>
        <v>**</v>
      </c>
      <c r="AW17" s="235"/>
      <c r="AX17" s="236">
        <v>1.1000000000000001</v>
      </c>
      <c r="AY17" s="207"/>
      <c r="AZ17" s="237" t="str">
        <f>IFERROR(#REF!*860,"")</f>
        <v/>
      </c>
    </row>
    <row r="18" spans="2:53" ht="18" customHeight="1" x14ac:dyDescent="0.15">
      <c r="B18" s="178">
        <v>12</v>
      </c>
      <c r="C18" s="179"/>
      <c r="D18" s="209"/>
      <c r="E18" s="180"/>
      <c r="F18" s="210"/>
      <c r="G18" s="302" t="str">
        <f>IF(F18=0,"**",entaru(E18,F18))</f>
        <v>**</v>
      </c>
      <c r="H18" s="303" t="str">
        <f>IF(F18=0,"**",hizyu(E18,F18))</f>
        <v>**</v>
      </c>
      <c r="I18" s="212"/>
      <c r="J18" s="213"/>
      <c r="K18" s="213"/>
      <c r="L18" s="212" t="str">
        <f t="shared" si="0"/>
        <v>**</v>
      </c>
      <c r="M18" s="214" t="str">
        <f t="shared" si="1"/>
        <v>**</v>
      </c>
      <c r="N18" s="380"/>
      <c r="O18" s="223"/>
      <c r="P18" s="216"/>
      <c r="Q18" s="217"/>
      <c r="R18" s="218" t="e">
        <f>VLOOKUP($N18,table01[],7,FALSE)</f>
        <v>#N/A</v>
      </c>
      <c r="S18" s="211" t="e">
        <f>VLOOKUP($N18,table01[],8,FALSE)</f>
        <v>#N/A</v>
      </c>
      <c r="T18" s="219" t="e">
        <f>VLOOKUP($N18,table01[],9,FALSE)</f>
        <v>#N/A</v>
      </c>
      <c r="U18" s="220"/>
      <c r="V18" s="215"/>
      <c r="W18" s="216"/>
      <c r="X18" s="216"/>
      <c r="Y18" s="216"/>
      <c r="Z18" s="216"/>
      <c r="AA18" s="220"/>
      <c r="AB18" s="216"/>
      <c r="AC18" s="216"/>
      <c r="AD18" s="221"/>
      <c r="AE18" s="216"/>
      <c r="AF18" s="216"/>
      <c r="AG18" s="219"/>
      <c r="AH18" s="215"/>
      <c r="AI18" s="216"/>
      <c r="AJ18" s="216"/>
      <c r="AK18" s="220"/>
      <c r="AL18" s="222"/>
      <c r="AM18" s="216"/>
      <c r="AN18" s="216"/>
      <c r="AO18" s="219" t="str">
        <f>IF(F18=0,"**",entaru(AM18,AN18))</f>
        <v>**</v>
      </c>
      <c r="AP18" s="220" t="str">
        <f>IF(F18=0,"**",hizyu(AM18,AN18))</f>
        <v>**</v>
      </c>
      <c r="AQ18" s="238"/>
      <c r="AR18" s="239"/>
      <c r="AS18" s="240"/>
      <c r="AT18" s="240"/>
      <c r="AU18" s="241" t="str">
        <f>IF(F18=0,"**",entaru(AS18,AT18))</f>
        <v>**</v>
      </c>
      <c r="AV18" s="242" t="str">
        <f>IF(F18=0,"**",hizyu(AS18,AT18))</f>
        <v>**</v>
      </c>
      <c r="AW18" s="243"/>
      <c r="AX18" s="224">
        <v>1.1000000000000001</v>
      </c>
      <c r="AY18" s="225"/>
      <c r="AZ18" s="226" t="str">
        <f>IFERROR(#REF!*860,"")</f>
        <v/>
      </c>
    </row>
    <row r="19" spans="2:53" ht="18" customHeight="1" x14ac:dyDescent="0.15">
      <c r="B19" s="175">
        <v>13</v>
      </c>
      <c r="C19" s="157"/>
      <c r="D19" s="227"/>
      <c r="E19" s="158"/>
      <c r="F19" s="228"/>
      <c r="G19" s="304" t="str">
        <f>IF(F19=0,"**",entaru(E19,F19))</f>
        <v>**</v>
      </c>
      <c r="H19" s="305" t="str">
        <f>IF(F19=0,"**",hizyu(E19,F19))</f>
        <v>**</v>
      </c>
      <c r="I19" s="187"/>
      <c r="J19" s="186"/>
      <c r="K19" s="186"/>
      <c r="L19" s="187" t="str">
        <f t="shared" si="0"/>
        <v>**</v>
      </c>
      <c r="M19" s="188" t="str">
        <f t="shared" si="1"/>
        <v>**</v>
      </c>
      <c r="N19" s="381"/>
      <c r="O19" s="231"/>
      <c r="P19" s="30"/>
      <c r="Q19" s="191"/>
      <c r="R19" s="230" t="e">
        <f>VLOOKUP($N19,table01[],7,FALSE)</f>
        <v>#N/A</v>
      </c>
      <c r="S19" s="229" t="e">
        <f>VLOOKUP($N19,table01[],8,FALSE)</f>
        <v>#N/A</v>
      </c>
      <c r="T19" s="197" t="e">
        <f>VLOOKUP($N19,table01[],9,FALSE)</f>
        <v>#N/A</v>
      </c>
      <c r="U19" s="195"/>
      <c r="V19" s="194"/>
      <c r="W19" s="30"/>
      <c r="X19" s="30"/>
      <c r="Y19" s="30"/>
      <c r="Z19" s="30"/>
      <c r="AA19" s="195"/>
      <c r="AB19" s="30"/>
      <c r="AC19" s="30"/>
      <c r="AD19" s="196"/>
      <c r="AE19" s="30"/>
      <c r="AF19" s="30"/>
      <c r="AG19" s="197"/>
      <c r="AH19" s="194"/>
      <c r="AI19" s="30"/>
      <c r="AJ19" s="30"/>
      <c r="AK19" s="195"/>
      <c r="AL19" s="199"/>
      <c r="AM19" s="30"/>
      <c r="AN19" s="30"/>
      <c r="AO19" s="197" t="str">
        <f>IF(F19=0,"**",entaru(AM19,AN19))</f>
        <v>**</v>
      </c>
      <c r="AP19" s="195" t="str">
        <f>IF(F19=0,"**",hizyu(AM19,AN19))</f>
        <v>**</v>
      </c>
      <c r="AQ19" s="194"/>
      <c r="AR19" s="231"/>
      <c r="AS19" s="232"/>
      <c r="AT19" s="232"/>
      <c r="AU19" s="233" t="str">
        <f>IF(F19=0,"**",entaru(AS19,AT19))</f>
        <v>**</v>
      </c>
      <c r="AV19" s="234" t="str">
        <f>IF(F19=0,"**",hizyu(AS19,AT19))</f>
        <v>**</v>
      </c>
      <c r="AW19" s="235"/>
      <c r="AX19" s="236">
        <v>1.1000000000000001</v>
      </c>
      <c r="AY19" s="207"/>
      <c r="AZ19" s="237" t="str">
        <f>IFERROR(#REF!*860,"")</f>
        <v/>
      </c>
      <c r="BA19" s="4"/>
    </row>
    <row r="20" spans="2:53" ht="18" customHeight="1" x14ac:dyDescent="0.15">
      <c r="B20" s="178">
        <v>14</v>
      </c>
      <c r="C20" s="179"/>
      <c r="D20" s="209"/>
      <c r="E20" s="180"/>
      <c r="F20" s="210"/>
      <c r="G20" s="302" t="str">
        <f>IF(F20=0,"**",entaru(E20,F20))</f>
        <v>**</v>
      </c>
      <c r="H20" s="303" t="str">
        <f>IF(F20=0,"**",hizyu(E20,F20))</f>
        <v>**</v>
      </c>
      <c r="I20" s="212"/>
      <c r="J20" s="213"/>
      <c r="K20" s="213"/>
      <c r="L20" s="212" t="str">
        <f t="shared" si="0"/>
        <v>**</v>
      </c>
      <c r="M20" s="214" t="str">
        <f t="shared" si="1"/>
        <v>**</v>
      </c>
      <c r="N20" s="380"/>
      <c r="O20" s="223"/>
      <c r="P20" s="216"/>
      <c r="Q20" s="217"/>
      <c r="R20" s="218" t="e">
        <f>VLOOKUP($N20,table01[],7,FALSE)</f>
        <v>#N/A</v>
      </c>
      <c r="S20" s="211" t="e">
        <f>VLOOKUP($N20,table01[],8,FALSE)</f>
        <v>#N/A</v>
      </c>
      <c r="T20" s="219" t="e">
        <f>VLOOKUP($N20,table01[],9,FALSE)</f>
        <v>#N/A</v>
      </c>
      <c r="U20" s="220"/>
      <c r="V20" s="215"/>
      <c r="W20" s="216"/>
      <c r="X20" s="216"/>
      <c r="Y20" s="216"/>
      <c r="Z20" s="216"/>
      <c r="AA20" s="220"/>
      <c r="AB20" s="216"/>
      <c r="AC20" s="216"/>
      <c r="AD20" s="221"/>
      <c r="AE20" s="216"/>
      <c r="AF20" s="216"/>
      <c r="AG20" s="219"/>
      <c r="AH20" s="215"/>
      <c r="AI20" s="216"/>
      <c r="AJ20" s="216"/>
      <c r="AK20" s="220"/>
      <c r="AL20" s="222"/>
      <c r="AM20" s="216"/>
      <c r="AN20" s="216"/>
      <c r="AO20" s="219" t="str">
        <f>IF(F20=0,"**",entaru(AM20,AN20))</f>
        <v>**</v>
      </c>
      <c r="AP20" s="220" t="str">
        <f>IF(F20=0,"**",hizyu(AM20,AN20))</f>
        <v>**</v>
      </c>
      <c r="AQ20" s="238"/>
      <c r="AR20" s="239"/>
      <c r="AS20" s="240"/>
      <c r="AT20" s="240"/>
      <c r="AU20" s="241" t="str">
        <f>IF(F20=0,"**",entaru(AS20,AT20))</f>
        <v>**</v>
      </c>
      <c r="AV20" s="242" t="str">
        <f>IF(F20=0,"**",hizyu(AS20,AT20))</f>
        <v>**</v>
      </c>
      <c r="AW20" s="243"/>
      <c r="AX20" s="224">
        <v>1.1000000000000001</v>
      </c>
      <c r="AY20" s="225"/>
      <c r="AZ20" s="226" t="str">
        <f>IFERROR(#REF!*860,"")</f>
        <v/>
      </c>
      <c r="BA20" s="4"/>
    </row>
    <row r="21" spans="2:53" ht="18" customHeight="1" x14ac:dyDescent="0.15">
      <c r="B21" s="473">
        <v>15</v>
      </c>
      <c r="C21" s="474"/>
      <c r="D21" s="475"/>
      <c r="E21" s="476"/>
      <c r="F21" s="477"/>
      <c r="G21" s="478" t="str">
        <f>IF(F21=0,"**",entaru(E21,F21))</f>
        <v>**</v>
      </c>
      <c r="H21" s="479" t="str">
        <f>IF(F21=0,"**",hizyu(E21,F21))</f>
        <v>**</v>
      </c>
      <c r="I21" s="480"/>
      <c r="J21" s="481"/>
      <c r="K21" s="481"/>
      <c r="L21" s="480" t="str">
        <f t="shared" si="0"/>
        <v>**</v>
      </c>
      <c r="M21" s="482" t="str">
        <f t="shared" si="1"/>
        <v>**</v>
      </c>
      <c r="N21" s="483"/>
      <c r="O21" s="484"/>
      <c r="P21" s="485"/>
      <c r="Q21" s="486"/>
      <c r="R21" s="487" t="e">
        <f>VLOOKUP($N21,table01[],7,FALSE)</f>
        <v>#N/A</v>
      </c>
      <c r="S21" s="488" t="e">
        <f>VLOOKUP($N21,table01[],8,FALSE)</f>
        <v>#N/A</v>
      </c>
      <c r="T21" s="489" t="e">
        <f>VLOOKUP($N21,table01[],9,FALSE)</f>
        <v>#N/A</v>
      </c>
      <c r="U21" s="490"/>
      <c r="V21" s="491"/>
      <c r="W21" s="485"/>
      <c r="X21" s="485"/>
      <c r="Y21" s="485"/>
      <c r="Z21" s="485"/>
      <c r="AA21" s="490"/>
      <c r="AB21" s="485"/>
      <c r="AC21" s="485"/>
      <c r="AD21" s="492"/>
      <c r="AE21" s="485"/>
      <c r="AF21" s="485"/>
      <c r="AG21" s="489"/>
      <c r="AH21" s="491"/>
      <c r="AI21" s="485"/>
      <c r="AJ21" s="485"/>
      <c r="AK21" s="490"/>
      <c r="AL21" s="493"/>
      <c r="AM21" s="485"/>
      <c r="AN21" s="485"/>
      <c r="AO21" s="489" t="str">
        <f>IF(F21=0,"**",entaru(AM21,AN21))</f>
        <v>**</v>
      </c>
      <c r="AP21" s="490" t="str">
        <f>IF(F21=0,"**",hizyu(AM21,AN21))</f>
        <v>**</v>
      </c>
      <c r="AQ21" s="491"/>
      <c r="AR21" s="484"/>
      <c r="AS21" s="485"/>
      <c r="AT21" s="485"/>
      <c r="AU21" s="489" t="str">
        <f>IF(F21=0,"**",entaru(AS21,AT21))</f>
        <v>**</v>
      </c>
      <c r="AV21" s="490" t="str">
        <f>IF(F21=0,"**",hizyu(AS21,AT21))</f>
        <v>**</v>
      </c>
      <c r="AW21" s="494"/>
      <c r="AX21" s="494">
        <v>1.1000000000000001</v>
      </c>
      <c r="AY21" s="495"/>
      <c r="AZ21" s="496" t="str">
        <f>IFERROR(#REF!*860,"")</f>
        <v/>
      </c>
      <c r="BA21" s="4"/>
    </row>
    <row r="22" spans="2:53" s="4" customFormat="1" ht="18" customHeight="1" x14ac:dyDescent="0.15"/>
    <row r="23" spans="2:53" ht="18" customHeight="1" x14ac:dyDescent="0.15">
      <c r="G23" s="1"/>
      <c r="H23" s="1"/>
      <c r="S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2:53" ht="18" customHeight="1" x14ac:dyDescent="0.15">
      <c r="G24" s="1"/>
      <c r="H24" s="1"/>
      <c r="S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2:53" ht="18" customHeight="1" x14ac:dyDescent="0.15">
      <c r="G25" s="1"/>
      <c r="H25" s="1"/>
      <c r="S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2:53" ht="18" customHeight="1" x14ac:dyDescent="0.15">
      <c r="G26" s="1"/>
      <c r="H26" s="1"/>
      <c r="S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2:53" ht="18" customHeight="1" x14ac:dyDescent="0.15">
      <c r="G27" s="1"/>
      <c r="H27" s="1"/>
      <c r="S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2:53" ht="18" customHeight="1" x14ac:dyDescent="0.15">
      <c r="G28" s="1"/>
      <c r="H28" s="1"/>
      <c r="S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2:53" ht="18" customHeight="1" x14ac:dyDescent="0.15">
      <c r="G29" s="1"/>
      <c r="H29" s="1"/>
      <c r="S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2:53" ht="18" customHeight="1" x14ac:dyDescent="0.15">
      <c r="G30" s="1"/>
      <c r="H30" s="1"/>
      <c r="S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2:53" ht="18" customHeight="1" x14ac:dyDescent="0.15">
      <c r="G31" s="1"/>
      <c r="H31" s="1"/>
      <c r="S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2:53" ht="18" customHeight="1" x14ac:dyDescent="0.15">
      <c r="G32" s="1"/>
      <c r="H32" s="1"/>
      <c r="S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2:52" ht="18" customHeight="1" x14ac:dyDescent="0.15">
      <c r="G33" s="1"/>
      <c r="H33" s="1"/>
      <c r="S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2:52" ht="18" customHeight="1" x14ac:dyDescent="0.15">
      <c r="G34" s="1"/>
      <c r="H34" s="1"/>
      <c r="S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2:52" ht="18" customHeight="1" x14ac:dyDescent="0.15">
      <c r="G35" s="1"/>
      <c r="H35" s="1"/>
      <c r="S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2:52" ht="18" customHeight="1" x14ac:dyDescent="0.15">
      <c r="G36" s="1"/>
      <c r="H36" s="1"/>
      <c r="S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2:52" ht="18" customHeight="1" x14ac:dyDescent="0.15">
      <c r="G37" s="1"/>
      <c r="H37" s="1"/>
      <c r="S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2:52" ht="18" customHeight="1" x14ac:dyDescent="0.15">
      <c r="G38" s="1"/>
      <c r="H38" s="1"/>
      <c r="S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2:52" ht="11.25" customHeight="1" x14ac:dyDescent="0.15">
      <c r="B39" s="63"/>
      <c r="D39" s="6"/>
      <c r="E39" s="164"/>
      <c r="F39" s="81"/>
      <c r="G39" s="299"/>
      <c r="H39" s="299"/>
      <c r="I39" s="165"/>
      <c r="J39" s="166"/>
      <c r="L39" s="166"/>
      <c r="M39" s="166"/>
      <c r="N39" s="166"/>
      <c r="O39" s="167"/>
      <c r="P39" s="167"/>
      <c r="Q39" s="168"/>
      <c r="R39" s="167"/>
      <c r="S39" s="167"/>
      <c r="T39" s="167"/>
      <c r="U39" s="167"/>
      <c r="V39" s="65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9"/>
      <c r="AR39" s="167"/>
      <c r="AS39" s="167"/>
      <c r="AT39" s="167"/>
      <c r="AU39" s="167"/>
      <c r="AV39" s="167"/>
      <c r="AW39" s="167"/>
      <c r="AX39" s="167"/>
      <c r="AY39" s="170"/>
      <c r="AZ39" s="80"/>
    </row>
    <row r="40" spans="2:52" ht="21" customHeight="1" x14ac:dyDescent="0.15">
      <c r="AX40" s="53"/>
      <c r="AY40" s="79"/>
      <c r="AZ40" s="79"/>
    </row>
    <row r="41" spans="2:52" ht="21" customHeight="1" x14ac:dyDescent="0.15">
      <c r="AX41" s="53"/>
      <c r="AY41" s="79"/>
      <c r="AZ41" s="79"/>
    </row>
    <row r="42" spans="2:52" ht="21" customHeight="1" x14ac:dyDescent="0.15">
      <c r="AX42" s="53"/>
      <c r="AY42" s="79"/>
      <c r="AZ42" s="79"/>
    </row>
    <row r="43" spans="2:52" ht="21" customHeight="1" x14ac:dyDescent="0.15">
      <c r="AX43" s="53"/>
      <c r="AY43" s="79"/>
      <c r="AZ43" s="79"/>
    </row>
    <row r="44" spans="2:52" ht="21" customHeight="1" x14ac:dyDescent="0.15">
      <c r="AX44" s="53"/>
      <c r="AY44" s="79"/>
      <c r="AZ44" s="79"/>
    </row>
    <row r="45" spans="2:52" ht="21" customHeight="1" x14ac:dyDescent="0.15">
      <c r="AX45" s="53"/>
      <c r="AY45" s="79"/>
      <c r="AZ45" s="79"/>
    </row>
    <row r="46" spans="2:52" ht="21" customHeight="1" x14ac:dyDescent="0.15">
      <c r="AX46" s="53"/>
      <c r="AY46" s="79"/>
      <c r="AZ46" s="79"/>
    </row>
    <row r="47" spans="2:52" ht="21" customHeight="1" x14ac:dyDescent="0.15">
      <c r="AX47" s="53"/>
      <c r="AY47" s="79"/>
      <c r="AZ47" s="79"/>
    </row>
    <row r="48" spans="2:52" ht="21" customHeight="1" x14ac:dyDescent="0.15">
      <c r="AX48" s="53"/>
      <c r="AY48" s="79"/>
      <c r="AZ48" s="79"/>
    </row>
    <row r="49" spans="50:52" ht="21" customHeight="1" x14ac:dyDescent="0.15">
      <c r="AX49" s="53"/>
      <c r="AY49" s="79"/>
      <c r="AZ49" s="79"/>
    </row>
    <row r="50" spans="50:52" ht="21" customHeight="1" x14ac:dyDescent="0.15">
      <c r="AX50" s="53"/>
      <c r="AY50" s="79"/>
      <c r="AZ50" s="79"/>
    </row>
    <row r="51" spans="50:52" ht="21" customHeight="1" x14ac:dyDescent="0.15">
      <c r="AX51" s="53"/>
      <c r="AY51" s="79"/>
      <c r="AZ51" s="79"/>
    </row>
    <row r="52" spans="50:52" ht="21" customHeight="1" x14ac:dyDescent="0.15">
      <c r="AX52" s="53"/>
      <c r="AY52" s="79"/>
      <c r="AZ52" s="79"/>
    </row>
    <row r="53" spans="50:52" ht="21" customHeight="1" x14ac:dyDescent="0.15">
      <c r="AX53" s="53"/>
      <c r="AY53" s="79"/>
      <c r="AZ53" s="79"/>
    </row>
    <row r="54" spans="50:52" ht="21" customHeight="1" x14ac:dyDescent="0.15">
      <c r="AX54" s="53"/>
      <c r="AY54" s="79"/>
      <c r="AZ54" s="79"/>
    </row>
    <row r="55" spans="50:52" ht="21" customHeight="1" x14ac:dyDescent="0.15">
      <c r="AX55" s="53"/>
      <c r="AY55" s="79"/>
      <c r="AZ55" s="79"/>
    </row>
    <row r="56" spans="50:52" ht="21" customHeight="1" x14ac:dyDescent="0.15">
      <c r="AX56" s="53"/>
      <c r="AY56" s="79"/>
      <c r="AZ56" s="79"/>
    </row>
    <row r="57" spans="50:52" ht="21" customHeight="1" x14ac:dyDescent="0.15">
      <c r="AX57" s="53"/>
      <c r="AY57" s="79"/>
      <c r="AZ57" s="79"/>
    </row>
    <row r="58" spans="50:52" ht="21" customHeight="1" x14ac:dyDescent="0.15">
      <c r="AX58" s="53"/>
      <c r="AY58" s="79"/>
      <c r="AZ58" s="79"/>
    </row>
    <row r="59" spans="50:52" ht="21" customHeight="1" x14ac:dyDescent="0.15">
      <c r="AX59" s="53"/>
      <c r="AY59" s="79"/>
      <c r="AZ59" s="79"/>
    </row>
    <row r="60" spans="50:52" ht="21" customHeight="1" x14ac:dyDescent="0.15">
      <c r="AX60" s="53"/>
      <c r="AY60" s="79"/>
      <c r="AZ60" s="79"/>
    </row>
    <row r="61" spans="50:52" ht="21" customHeight="1" x14ac:dyDescent="0.15">
      <c r="AX61" s="53"/>
      <c r="AY61" s="79"/>
      <c r="AZ61" s="79"/>
    </row>
    <row r="62" spans="50:52" ht="21" customHeight="1" x14ac:dyDescent="0.15">
      <c r="AX62" s="53"/>
      <c r="AY62" s="79"/>
      <c r="AZ62" s="79"/>
    </row>
    <row r="63" spans="50:52" ht="21" customHeight="1" x14ac:dyDescent="0.15">
      <c r="AX63" s="53"/>
      <c r="AY63" s="79"/>
      <c r="AZ63" s="79"/>
    </row>
    <row r="64" spans="50:52" ht="21" customHeight="1" x14ac:dyDescent="0.15">
      <c r="AX64" s="53"/>
      <c r="AY64" s="79"/>
      <c r="AZ64" s="79"/>
    </row>
    <row r="65" spans="50:52" ht="21" customHeight="1" x14ac:dyDescent="0.15">
      <c r="AX65" s="53"/>
      <c r="AY65" s="79"/>
      <c r="AZ65" s="79"/>
    </row>
    <row r="66" spans="50:52" ht="21" customHeight="1" x14ac:dyDescent="0.15">
      <c r="AX66" s="53"/>
      <c r="AY66" s="79"/>
      <c r="AZ66" s="79"/>
    </row>
    <row r="67" spans="50:52" ht="21" customHeight="1" x14ac:dyDescent="0.15">
      <c r="AX67" s="53"/>
      <c r="AY67" s="79"/>
      <c r="AZ67" s="79"/>
    </row>
    <row r="68" spans="50:52" ht="21" customHeight="1" x14ac:dyDescent="0.15">
      <c r="AX68" s="53"/>
      <c r="AY68" s="79"/>
      <c r="AZ68" s="79"/>
    </row>
    <row r="69" spans="50:52" ht="21" customHeight="1" x14ac:dyDescent="0.15">
      <c r="AX69" s="53"/>
      <c r="AY69" s="79"/>
      <c r="AZ69" s="79"/>
    </row>
    <row r="70" spans="50:52" ht="21" customHeight="1" x14ac:dyDescent="0.15">
      <c r="AX70" s="53"/>
      <c r="AY70" s="79"/>
      <c r="AZ70" s="79"/>
    </row>
    <row r="71" spans="50:52" ht="21" customHeight="1" x14ac:dyDescent="0.15">
      <c r="AX71" s="53"/>
      <c r="AY71" s="79"/>
      <c r="AZ71" s="79"/>
    </row>
    <row r="72" spans="50:52" ht="21" customHeight="1" x14ac:dyDescent="0.15">
      <c r="AX72" s="53"/>
      <c r="AY72" s="79"/>
      <c r="AZ72" s="79"/>
    </row>
    <row r="73" spans="50:52" ht="21" customHeight="1" x14ac:dyDescent="0.15">
      <c r="AX73" s="53"/>
      <c r="AY73" s="79"/>
      <c r="AZ73" s="79"/>
    </row>
    <row r="74" spans="50:52" ht="21" customHeight="1" x14ac:dyDescent="0.15">
      <c r="AX74" s="53"/>
      <c r="AY74" s="79"/>
      <c r="AZ74" s="79"/>
    </row>
    <row r="75" spans="50:52" ht="21" customHeight="1" x14ac:dyDescent="0.15">
      <c r="AX75" s="53"/>
      <c r="AY75" s="79"/>
      <c r="AZ75" s="79"/>
    </row>
    <row r="76" spans="50:52" ht="21" customHeight="1" x14ac:dyDescent="0.15">
      <c r="AX76" s="53"/>
      <c r="AY76" s="79"/>
      <c r="AZ76" s="79"/>
    </row>
    <row r="77" spans="50:52" ht="21" customHeight="1" x14ac:dyDescent="0.15">
      <c r="AX77" s="53"/>
      <c r="AY77" s="79"/>
      <c r="AZ77" s="79"/>
    </row>
    <row r="78" spans="50:52" ht="21" customHeight="1" x14ac:dyDescent="0.15">
      <c r="AX78" s="53"/>
      <c r="AY78" s="79"/>
      <c r="AZ78" s="79"/>
    </row>
    <row r="79" spans="50:52" ht="21" customHeight="1" x14ac:dyDescent="0.15">
      <c r="AX79" s="53"/>
      <c r="AY79" s="79"/>
      <c r="AZ79" s="79"/>
    </row>
    <row r="80" spans="50:52" ht="21" customHeight="1" x14ac:dyDescent="0.15">
      <c r="AX80" s="53"/>
      <c r="AY80" s="79"/>
      <c r="AZ80" s="79"/>
    </row>
    <row r="81" spans="50:52" ht="21" customHeight="1" x14ac:dyDescent="0.15">
      <c r="AX81" s="53"/>
      <c r="AY81" s="79"/>
      <c r="AZ81" s="79"/>
    </row>
    <row r="82" spans="50:52" ht="21" customHeight="1" x14ac:dyDescent="0.15">
      <c r="AX82" s="53"/>
      <c r="AY82" s="79"/>
      <c r="AZ82" s="79"/>
    </row>
    <row r="83" spans="50:52" ht="21" customHeight="1" x14ac:dyDescent="0.15">
      <c r="AX83" s="53"/>
      <c r="AY83" s="79"/>
      <c r="AZ83" s="79"/>
    </row>
    <row r="84" spans="50:52" ht="21" customHeight="1" x14ac:dyDescent="0.15">
      <c r="AX84" s="53"/>
      <c r="AY84" s="79"/>
      <c r="AZ84" s="79"/>
    </row>
    <row r="85" spans="50:52" ht="21" customHeight="1" x14ac:dyDescent="0.15">
      <c r="AX85" s="53"/>
      <c r="AY85" s="79"/>
      <c r="AZ85" s="79"/>
    </row>
    <row r="86" spans="50:52" ht="21" customHeight="1" x14ac:dyDescent="0.15">
      <c r="AX86" s="53"/>
      <c r="AY86" s="79"/>
      <c r="AZ86" s="79"/>
    </row>
    <row r="87" spans="50:52" ht="21" customHeight="1" x14ac:dyDescent="0.15">
      <c r="AX87" s="53"/>
      <c r="AY87" s="79"/>
      <c r="AZ87" s="79"/>
    </row>
    <row r="88" spans="50:52" ht="21" customHeight="1" x14ac:dyDescent="0.15">
      <c r="AX88" s="53"/>
      <c r="AY88" s="79"/>
      <c r="AZ88" s="79"/>
    </row>
    <row r="89" spans="50:52" ht="21" customHeight="1" x14ac:dyDescent="0.15">
      <c r="AX89" s="53"/>
      <c r="AY89" s="79"/>
      <c r="AZ89" s="79"/>
    </row>
    <row r="90" spans="50:52" ht="21" customHeight="1" x14ac:dyDescent="0.15">
      <c r="AX90" s="53"/>
      <c r="AY90" s="79"/>
      <c r="AZ90" s="79"/>
    </row>
    <row r="91" spans="50:52" ht="21" customHeight="1" x14ac:dyDescent="0.15">
      <c r="AX91" s="53"/>
      <c r="AY91" s="79"/>
      <c r="AZ91" s="79"/>
    </row>
    <row r="92" spans="50:52" ht="21" customHeight="1" x14ac:dyDescent="0.15">
      <c r="AX92" s="53"/>
      <c r="AY92" s="79"/>
      <c r="AZ92" s="79"/>
    </row>
    <row r="93" spans="50:52" ht="21" customHeight="1" x14ac:dyDescent="0.15">
      <c r="AX93" s="53"/>
      <c r="AY93" s="79"/>
      <c r="AZ93" s="79"/>
    </row>
    <row r="94" spans="50:52" ht="21" customHeight="1" x14ac:dyDescent="0.15">
      <c r="AX94" s="53"/>
      <c r="AY94" s="79"/>
      <c r="AZ94" s="79"/>
    </row>
    <row r="95" spans="50:52" ht="21" customHeight="1" x14ac:dyDescent="0.15">
      <c r="AX95" s="53"/>
      <c r="AY95" s="79"/>
      <c r="AZ95" s="79"/>
    </row>
    <row r="96" spans="50:52" ht="21" customHeight="1" x14ac:dyDescent="0.15">
      <c r="AX96" s="53"/>
      <c r="AY96" s="79"/>
      <c r="AZ96" s="79"/>
    </row>
    <row r="97" spans="50:52" ht="21" customHeight="1" x14ac:dyDescent="0.15">
      <c r="AX97" s="53"/>
      <c r="AY97" s="79"/>
      <c r="AZ97" s="79"/>
    </row>
    <row r="98" spans="50:52" ht="21" customHeight="1" x14ac:dyDescent="0.15">
      <c r="AX98" s="53"/>
      <c r="AY98" s="79"/>
      <c r="AZ98" s="79"/>
    </row>
    <row r="99" spans="50:52" ht="21" customHeight="1" x14ac:dyDescent="0.15">
      <c r="AX99" s="53"/>
      <c r="AY99" s="79"/>
      <c r="AZ99" s="79"/>
    </row>
    <row r="100" spans="50:52" ht="21" customHeight="1" x14ac:dyDescent="0.15">
      <c r="AX100" s="53"/>
      <c r="AY100" s="79"/>
      <c r="AZ100" s="79"/>
    </row>
    <row r="101" spans="50:52" ht="21" customHeight="1" x14ac:dyDescent="0.15">
      <c r="AX101" s="53"/>
      <c r="AY101" s="79"/>
      <c r="AZ101" s="79"/>
    </row>
    <row r="102" spans="50:52" ht="21" customHeight="1" x14ac:dyDescent="0.15">
      <c r="AX102" s="53"/>
      <c r="AY102" s="79"/>
      <c r="AZ102" s="79"/>
    </row>
    <row r="103" spans="50:52" ht="21" customHeight="1" x14ac:dyDescent="0.15">
      <c r="AX103" s="53"/>
      <c r="AY103" s="79"/>
      <c r="AZ103" s="79"/>
    </row>
    <row r="104" spans="50:52" ht="21" customHeight="1" x14ac:dyDescent="0.15">
      <c r="AX104" s="53"/>
      <c r="AY104" s="79"/>
      <c r="AZ104" s="79"/>
    </row>
    <row r="105" spans="50:52" ht="21" customHeight="1" x14ac:dyDescent="0.15">
      <c r="AX105" s="53"/>
      <c r="AY105" s="79"/>
      <c r="AZ105" s="79"/>
    </row>
    <row r="106" spans="50:52" ht="21" customHeight="1" x14ac:dyDescent="0.15">
      <c r="AX106" s="53"/>
      <c r="AY106" s="79"/>
      <c r="AZ106" s="79"/>
    </row>
    <row r="107" spans="50:52" ht="21" customHeight="1" x14ac:dyDescent="0.15">
      <c r="AX107" s="53"/>
      <c r="AY107" s="79"/>
      <c r="AZ107" s="79"/>
    </row>
    <row r="108" spans="50:52" ht="21" customHeight="1" x14ac:dyDescent="0.15">
      <c r="AX108" s="53"/>
      <c r="AY108" s="79"/>
      <c r="AZ108" s="79"/>
    </row>
    <row r="109" spans="50:52" ht="21" customHeight="1" x14ac:dyDescent="0.15">
      <c r="AX109" s="53"/>
      <c r="AY109" s="79"/>
      <c r="AZ109" s="79"/>
    </row>
    <row r="110" spans="50:52" ht="21" customHeight="1" x14ac:dyDescent="0.15">
      <c r="AX110" s="53"/>
      <c r="AY110" s="79"/>
      <c r="AZ110" s="79"/>
    </row>
    <row r="111" spans="50:52" ht="21" customHeight="1" x14ac:dyDescent="0.15">
      <c r="AX111" s="53"/>
      <c r="AY111" s="79"/>
      <c r="AZ111" s="79"/>
    </row>
    <row r="112" spans="50:52" ht="21" customHeight="1" x14ac:dyDescent="0.15">
      <c r="AX112" s="53"/>
      <c r="AY112" s="79"/>
      <c r="AZ112" s="79"/>
    </row>
    <row r="113" spans="50:52" ht="21" customHeight="1" x14ac:dyDescent="0.15">
      <c r="AX113" s="53"/>
      <c r="AY113" s="79"/>
      <c r="AZ113" s="79"/>
    </row>
    <row r="114" spans="50:52" ht="21" customHeight="1" x14ac:dyDescent="0.15">
      <c r="AX114" s="53"/>
      <c r="AY114" s="79"/>
      <c r="AZ114" s="79"/>
    </row>
    <row r="115" spans="50:52" ht="21" customHeight="1" x14ac:dyDescent="0.15">
      <c r="AX115" s="53"/>
      <c r="AY115" s="79"/>
      <c r="AZ115" s="79"/>
    </row>
    <row r="116" spans="50:52" ht="21" customHeight="1" x14ac:dyDescent="0.15">
      <c r="AX116" s="53"/>
      <c r="AY116" s="79"/>
      <c r="AZ116" s="79"/>
    </row>
    <row r="117" spans="50:52" ht="21" customHeight="1" x14ac:dyDescent="0.15">
      <c r="AX117" s="53"/>
      <c r="AY117" s="79"/>
      <c r="AZ117" s="79"/>
    </row>
    <row r="118" spans="50:52" ht="21" customHeight="1" x14ac:dyDescent="0.15">
      <c r="AX118" s="53"/>
      <c r="AY118" s="79"/>
      <c r="AZ118" s="79"/>
    </row>
    <row r="119" spans="50:52" ht="21" customHeight="1" x14ac:dyDescent="0.15">
      <c r="AX119" s="53"/>
      <c r="AY119" s="79"/>
      <c r="AZ119" s="79"/>
    </row>
    <row r="120" spans="50:52" ht="21" customHeight="1" x14ac:dyDescent="0.15">
      <c r="AX120" s="53"/>
      <c r="AY120" s="79"/>
      <c r="AZ120" s="79"/>
    </row>
    <row r="121" spans="50:52" ht="21" customHeight="1" x14ac:dyDescent="0.15">
      <c r="AX121" s="53"/>
      <c r="AY121" s="79"/>
      <c r="AZ121" s="79"/>
    </row>
    <row r="122" spans="50:52" ht="21" customHeight="1" x14ac:dyDescent="0.15">
      <c r="AX122" s="53"/>
      <c r="AY122" s="79"/>
      <c r="AZ122" s="79"/>
    </row>
    <row r="123" spans="50:52" ht="21" customHeight="1" x14ac:dyDescent="0.15">
      <c r="AX123" s="53"/>
      <c r="AY123" s="79"/>
      <c r="AZ123" s="79"/>
    </row>
    <row r="124" spans="50:52" ht="21" customHeight="1" x14ac:dyDescent="0.15">
      <c r="AX124" s="53"/>
      <c r="AY124" s="79"/>
      <c r="AZ124" s="79"/>
    </row>
    <row r="125" spans="50:52" ht="21" customHeight="1" x14ac:dyDescent="0.15">
      <c r="AX125" s="53"/>
      <c r="AY125" s="79"/>
      <c r="AZ125" s="79"/>
    </row>
    <row r="126" spans="50:52" ht="21" customHeight="1" x14ac:dyDescent="0.15">
      <c r="AX126" s="53"/>
      <c r="AY126" s="79"/>
      <c r="AZ126" s="79"/>
    </row>
    <row r="127" spans="50:52" ht="21" customHeight="1" x14ac:dyDescent="0.15">
      <c r="AX127" s="53"/>
      <c r="AY127" s="79"/>
      <c r="AZ127" s="79"/>
    </row>
    <row r="128" spans="50:52" ht="21" customHeight="1" x14ac:dyDescent="0.15">
      <c r="AX128" s="53"/>
      <c r="AY128" s="79"/>
      <c r="AZ128" s="79"/>
    </row>
    <row r="129" spans="50:52" ht="21" customHeight="1" x14ac:dyDescent="0.15">
      <c r="AX129" s="53"/>
      <c r="AY129" s="79"/>
      <c r="AZ129" s="79"/>
    </row>
    <row r="130" spans="50:52" ht="21" customHeight="1" x14ac:dyDescent="0.15">
      <c r="AX130" s="53"/>
      <c r="AY130" s="79"/>
      <c r="AZ130" s="79"/>
    </row>
    <row r="131" spans="50:52" ht="21" customHeight="1" x14ac:dyDescent="0.15">
      <c r="AX131" s="53"/>
      <c r="AY131" s="79"/>
      <c r="AZ131" s="79"/>
    </row>
    <row r="132" spans="50:52" ht="21" customHeight="1" x14ac:dyDescent="0.15">
      <c r="AX132" s="53"/>
      <c r="AY132" s="79"/>
      <c r="AZ132" s="79"/>
    </row>
    <row r="133" spans="50:52" ht="21" customHeight="1" x14ac:dyDescent="0.15">
      <c r="AX133" s="53"/>
      <c r="AY133" s="79"/>
      <c r="AZ133" s="79"/>
    </row>
    <row r="134" spans="50:52" ht="21" customHeight="1" x14ac:dyDescent="0.15">
      <c r="AX134" s="53"/>
      <c r="AY134" s="79"/>
      <c r="AZ134" s="79"/>
    </row>
    <row r="135" spans="50:52" ht="21" customHeight="1" x14ac:dyDescent="0.15">
      <c r="AX135" s="53"/>
      <c r="AY135" s="79"/>
      <c r="AZ135" s="79"/>
    </row>
    <row r="136" spans="50:52" ht="21" customHeight="1" x14ac:dyDescent="0.15">
      <c r="AX136" s="53"/>
      <c r="AY136" s="79"/>
      <c r="AZ136" s="79"/>
    </row>
    <row r="137" spans="50:52" ht="21" customHeight="1" x14ac:dyDescent="0.15">
      <c r="AX137" s="53"/>
      <c r="AY137" s="79"/>
      <c r="AZ137" s="79"/>
    </row>
    <row r="138" spans="50:52" ht="21" customHeight="1" x14ac:dyDescent="0.15">
      <c r="AX138" s="53"/>
      <c r="AY138" s="79"/>
      <c r="AZ138" s="79"/>
    </row>
    <row r="139" spans="50:52" ht="21" customHeight="1" x14ac:dyDescent="0.15">
      <c r="AX139" s="53"/>
      <c r="AY139" s="79"/>
      <c r="AZ139" s="79"/>
    </row>
    <row r="140" spans="50:52" ht="21" customHeight="1" x14ac:dyDescent="0.15">
      <c r="AX140" s="53"/>
      <c r="AY140" s="79"/>
      <c r="AZ140" s="79"/>
    </row>
    <row r="141" spans="50:52" ht="21" customHeight="1" x14ac:dyDescent="0.15">
      <c r="AX141" s="53"/>
      <c r="AY141" s="79"/>
      <c r="AZ141" s="79"/>
    </row>
    <row r="142" spans="50:52" ht="21" customHeight="1" x14ac:dyDescent="0.15">
      <c r="AX142" s="53"/>
      <c r="AY142" s="79"/>
      <c r="AZ142" s="79"/>
    </row>
    <row r="143" spans="50:52" ht="21" customHeight="1" x14ac:dyDescent="0.15">
      <c r="AX143" s="53"/>
      <c r="AY143" s="79"/>
      <c r="AZ143" s="79"/>
    </row>
    <row r="144" spans="50:52" ht="21" customHeight="1" x14ac:dyDescent="0.15">
      <c r="AX144" s="53"/>
      <c r="AY144" s="79"/>
      <c r="AZ144" s="79"/>
    </row>
    <row r="145" spans="50:52" ht="21" customHeight="1" x14ac:dyDescent="0.15">
      <c r="AX145" s="53"/>
      <c r="AY145" s="79"/>
      <c r="AZ145" s="79"/>
    </row>
    <row r="146" spans="50:52" ht="21" customHeight="1" x14ac:dyDescent="0.15">
      <c r="AX146" s="53"/>
      <c r="AY146" s="79"/>
      <c r="AZ146" s="79"/>
    </row>
    <row r="147" spans="50:52" ht="21" customHeight="1" x14ac:dyDescent="0.15">
      <c r="AX147" s="53"/>
      <c r="AY147" s="79"/>
      <c r="AZ147" s="79"/>
    </row>
    <row r="148" spans="50:52" ht="21" customHeight="1" x14ac:dyDescent="0.15">
      <c r="AX148" s="53"/>
      <c r="AY148" s="79"/>
      <c r="AZ148" s="79"/>
    </row>
    <row r="149" spans="50:52" ht="21" customHeight="1" x14ac:dyDescent="0.15">
      <c r="AX149" s="53"/>
      <c r="AY149" s="79"/>
      <c r="AZ149" s="79"/>
    </row>
    <row r="150" spans="50:52" ht="21" customHeight="1" x14ac:dyDescent="0.15">
      <c r="AX150" s="53"/>
      <c r="AY150" s="79"/>
      <c r="AZ150" s="79"/>
    </row>
    <row r="151" spans="50:52" ht="21" customHeight="1" x14ac:dyDescent="0.15">
      <c r="AX151" s="53"/>
      <c r="AY151" s="79"/>
      <c r="AZ151" s="79"/>
    </row>
    <row r="152" spans="50:52" ht="21" customHeight="1" x14ac:dyDescent="0.15">
      <c r="AX152" s="53"/>
      <c r="AY152" s="79"/>
      <c r="AZ152" s="79"/>
    </row>
    <row r="153" spans="50:52" ht="21" customHeight="1" x14ac:dyDescent="0.15">
      <c r="AX153" s="53"/>
      <c r="AY153" s="79"/>
      <c r="AZ153" s="79"/>
    </row>
    <row r="154" spans="50:52" ht="21" customHeight="1" x14ac:dyDescent="0.15">
      <c r="AX154" s="53"/>
      <c r="AY154" s="79"/>
      <c r="AZ154" s="79"/>
    </row>
    <row r="155" spans="50:52" ht="21" customHeight="1" x14ac:dyDescent="0.15">
      <c r="AX155" s="53"/>
      <c r="AY155" s="79"/>
      <c r="AZ155" s="79"/>
    </row>
    <row r="156" spans="50:52" ht="21" customHeight="1" x14ac:dyDescent="0.15">
      <c r="AX156" s="53"/>
      <c r="AY156" s="79"/>
      <c r="AZ156" s="79"/>
    </row>
    <row r="157" spans="50:52" ht="21" customHeight="1" x14ac:dyDescent="0.15">
      <c r="AX157" s="53"/>
      <c r="AY157" s="79"/>
      <c r="AZ157" s="79"/>
    </row>
    <row r="158" spans="50:52" ht="21" customHeight="1" x14ac:dyDescent="0.15">
      <c r="AX158" s="53"/>
      <c r="AY158" s="79"/>
      <c r="AZ158" s="79"/>
    </row>
    <row r="159" spans="50:52" ht="21" customHeight="1" x14ac:dyDescent="0.15">
      <c r="AX159" s="53"/>
      <c r="AY159" s="79"/>
      <c r="AZ159" s="79"/>
    </row>
    <row r="160" spans="50:52" ht="21" customHeight="1" x14ac:dyDescent="0.15">
      <c r="AX160" s="53"/>
      <c r="AY160" s="79"/>
      <c r="AZ160" s="79"/>
    </row>
    <row r="161" spans="50:52" ht="21" customHeight="1" x14ac:dyDescent="0.15">
      <c r="AX161" s="53"/>
      <c r="AY161" s="79"/>
      <c r="AZ161" s="79"/>
    </row>
    <row r="162" spans="50:52" ht="21" customHeight="1" x14ac:dyDescent="0.15">
      <c r="AX162" s="53"/>
      <c r="AY162" s="79"/>
      <c r="AZ162" s="79"/>
    </row>
    <row r="163" spans="50:52" ht="21" customHeight="1" x14ac:dyDescent="0.15">
      <c r="AX163" s="53"/>
      <c r="AY163" s="79"/>
      <c r="AZ163" s="79"/>
    </row>
    <row r="164" spans="50:52" ht="21" customHeight="1" x14ac:dyDescent="0.15">
      <c r="AX164" s="53"/>
      <c r="AY164" s="79"/>
      <c r="AZ164" s="79"/>
    </row>
    <row r="165" spans="50:52" ht="21" customHeight="1" x14ac:dyDescent="0.15">
      <c r="AX165" s="53"/>
      <c r="AY165" s="79"/>
      <c r="AZ165" s="79"/>
    </row>
    <row r="166" spans="50:52" ht="21" customHeight="1" x14ac:dyDescent="0.15">
      <c r="AX166" s="53"/>
      <c r="AY166" s="79"/>
      <c r="AZ166" s="79"/>
    </row>
    <row r="167" spans="50:52" ht="21" customHeight="1" x14ac:dyDescent="0.15">
      <c r="AX167" s="53"/>
      <c r="AY167" s="79"/>
      <c r="AZ167" s="79"/>
    </row>
    <row r="168" spans="50:52" ht="21" customHeight="1" x14ac:dyDescent="0.15">
      <c r="AX168" s="53"/>
      <c r="AY168" s="79"/>
      <c r="AZ168" s="79"/>
    </row>
    <row r="169" spans="50:52" ht="21" customHeight="1" x14ac:dyDescent="0.15">
      <c r="AX169" s="53"/>
      <c r="AY169" s="79"/>
      <c r="AZ169" s="79"/>
    </row>
    <row r="170" spans="50:52" ht="21" customHeight="1" x14ac:dyDescent="0.15">
      <c r="AX170" s="53"/>
      <c r="AY170" s="79"/>
      <c r="AZ170" s="79"/>
    </row>
    <row r="171" spans="50:52" ht="21" customHeight="1" x14ac:dyDescent="0.15">
      <c r="AX171" s="53"/>
      <c r="AY171" s="79"/>
      <c r="AZ171" s="79"/>
    </row>
    <row r="172" spans="50:52" ht="21" customHeight="1" x14ac:dyDescent="0.15">
      <c r="AX172" s="53"/>
      <c r="AY172" s="79"/>
      <c r="AZ172" s="79"/>
    </row>
    <row r="173" spans="50:52" ht="21" customHeight="1" x14ac:dyDescent="0.15">
      <c r="AX173" s="53"/>
      <c r="AY173" s="79"/>
      <c r="AZ173" s="79"/>
    </row>
    <row r="174" spans="50:52" ht="21" customHeight="1" x14ac:dyDescent="0.15">
      <c r="AX174" s="53"/>
      <c r="AY174" s="79"/>
      <c r="AZ174" s="79"/>
    </row>
    <row r="175" spans="50:52" ht="21" customHeight="1" x14ac:dyDescent="0.15">
      <c r="AX175" s="53"/>
      <c r="AY175" s="79"/>
      <c r="AZ175" s="79"/>
    </row>
    <row r="176" spans="50:52" ht="21" customHeight="1" x14ac:dyDescent="0.15">
      <c r="AX176" s="53"/>
      <c r="AY176" s="79"/>
      <c r="AZ176" s="79"/>
    </row>
    <row r="177" spans="50:52" ht="21" customHeight="1" x14ac:dyDescent="0.15">
      <c r="AX177" s="53"/>
      <c r="AY177" s="79"/>
      <c r="AZ177" s="79"/>
    </row>
    <row r="178" spans="50:52" ht="21" customHeight="1" x14ac:dyDescent="0.15">
      <c r="AX178" s="53"/>
      <c r="AY178" s="79"/>
      <c r="AZ178" s="79"/>
    </row>
    <row r="179" spans="50:52" ht="21" customHeight="1" x14ac:dyDescent="0.15">
      <c r="AX179" s="53"/>
      <c r="AY179" s="79"/>
      <c r="AZ179" s="79"/>
    </row>
    <row r="180" spans="50:52" ht="21" customHeight="1" x14ac:dyDescent="0.15">
      <c r="AX180" s="53"/>
      <c r="AY180" s="79"/>
      <c r="AZ180" s="79"/>
    </row>
    <row r="181" spans="50:52" ht="21" customHeight="1" x14ac:dyDescent="0.15">
      <c r="AX181" s="53"/>
      <c r="AY181" s="79"/>
      <c r="AZ181" s="79"/>
    </row>
    <row r="182" spans="50:52" ht="21" customHeight="1" x14ac:dyDescent="0.15">
      <c r="AX182" s="53"/>
      <c r="AY182" s="79"/>
      <c r="AZ182" s="79"/>
    </row>
    <row r="183" spans="50:52" ht="21" customHeight="1" x14ac:dyDescent="0.15">
      <c r="AX183" s="53"/>
      <c r="AY183" s="79"/>
      <c r="AZ183" s="79"/>
    </row>
    <row r="184" spans="50:52" ht="21" customHeight="1" x14ac:dyDescent="0.15">
      <c r="AX184" s="53"/>
      <c r="AY184" s="79"/>
      <c r="AZ184" s="79"/>
    </row>
    <row r="185" spans="50:52" ht="21" customHeight="1" x14ac:dyDescent="0.15">
      <c r="AX185" s="53"/>
      <c r="AY185" s="79"/>
      <c r="AZ185" s="79"/>
    </row>
    <row r="186" spans="50:52" ht="21" customHeight="1" x14ac:dyDescent="0.15">
      <c r="AX186" s="53"/>
      <c r="AY186" s="79"/>
      <c r="AZ186" s="79"/>
    </row>
    <row r="187" spans="50:52" ht="21" customHeight="1" x14ac:dyDescent="0.15">
      <c r="AX187" s="53"/>
      <c r="AY187" s="79"/>
      <c r="AZ187" s="79"/>
    </row>
    <row r="188" spans="50:52" ht="21" customHeight="1" x14ac:dyDescent="0.15">
      <c r="AX188" s="53"/>
      <c r="AY188" s="79"/>
      <c r="AZ188" s="79"/>
    </row>
    <row r="189" spans="50:52" ht="21" customHeight="1" x14ac:dyDescent="0.15">
      <c r="AX189" s="53"/>
      <c r="AY189" s="79"/>
      <c r="AZ189" s="79"/>
    </row>
    <row r="190" spans="50:52" ht="21" customHeight="1" x14ac:dyDescent="0.15">
      <c r="AX190" s="53"/>
      <c r="AY190" s="79"/>
      <c r="AZ190" s="79"/>
    </row>
    <row r="191" spans="50:52" ht="21" customHeight="1" x14ac:dyDescent="0.15">
      <c r="AX191" s="53"/>
      <c r="AY191" s="79"/>
      <c r="AZ191" s="79"/>
    </row>
    <row r="192" spans="50:52" ht="21" customHeight="1" x14ac:dyDescent="0.15">
      <c r="AX192" s="53"/>
      <c r="AY192" s="79"/>
      <c r="AZ192" s="79"/>
    </row>
    <row r="193" spans="50:52" ht="21" customHeight="1" x14ac:dyDescent="0.15">
      <c r="AX193" s="53"/>
      <c r="AY193" s="79"/>
      <c r="AZ193" s="79"/>
    </row>
    <row r="194" spans="50:52" ht="21" customHeight="1" x14ac:dyDescent="0.15">
      <c r="AX194" s="53"/>
      <c r="AY194" s="79"/>
      <c r="AZ194" s="79"/>
    </row>
    <row r="195" spans="50:52" ht="21" customHeight="1" x14ac:dyDescent="0.15">
      <c r="AX195" s="53"/>
      <c r="AY195" s="79"/>
      <c r="AZ195" s="79"/>
    </row>
    <row r="196" spans="50:52" ht="21" customHeight="1" x14ac:dyDescent="0.15">
      <c r="AX196" s="53"/>
      <c r="AY196" s="79"/>
      <c r="AZ196" s="79"/>
    </row>
    <row r="197" spans="50:52" ht="21" customHeight="1" x14ac:dyDescent="0.15">
      <c r="AX197" s="53"/>
      <c r="AY197" s="79"/>
      <c r="AZ197" s="79"/>
    </row>
    <row r="198" spans="50:52" ht="21" customHeight="1" x14ac:dyDescent="0.15">
      <c r="AX198" s="53"/>
      <c r="AY198" s="79"/>
      <c r="AZ198" s="79"/>
    </row>
    <row r="199" spans="50:52" ht="21" customHeight="1" x14ac:dyDescent="0.15">
      <c r="AX199" s="53"/>
      <c r="AY199" s="79"/>
      <c r="AZ199" s="79"/>
    </row>
    <row r="200" spans="50:52" ht="21" customHeight="1" x14ac:dyDescent="0.15">
      <c r="AX200" s="53"/>
      <c r="AY200" s="79"/>
      <c r="AZ200" s="79"/>
    </row>
    <row r="201" spans="50:52" ht="21" customHeight="1" x14ac:dyDescent="0.15">
      <c r="AX201" s="53"/>
      <c r="AY201" s="79"/>
      <c r="AZ201" s="79"/>
    </row>
    <row r="202" spans="50:52" ht="21" customHeight="1" x14ac:dyDescent="0.15">
      <c r="AX202" s="53"/>
      <c r="AY202" s="79"/>
      <c r="AZ202" s="79"/>
    </row>
    <row r="203" spans="50:52" ht="21" customHeight="1" x14ac:dyDescent="0.15">
      <c r="AX203" s="53"/>
      <c r="AY203" s="79"/>
      <c r="AZ203" s="79"/>
    </row>
    <row r="204" spans="50:52" ht="21" customHeight="1" x14ac:dyDescent="0.15">
      <c r="AX204" s="53"/>
      <c r="AY204" s="79"/>
      <c r="AZ204" s="79"/>
    </row>
    <row r="205" spans="50:52" ht="21" customHeight="1" x14ac:dyDescent="0.15">
      <c r="AX205" s="53"/>
      <c r="AY205" s="79"/>
      <c r="AZ205" s="79"/>
    </row>
    <row r="206" spans="50:52" ht="21" customHeight="1" x14ac:dyDescent="0.15">
      <c r="AX206" s="53"/>
      <c r="AY206" s="79"/>
      <c r="AZ206" s="79"/>
    </row>
    <row r="207" spans="50:52" ht="21" customHeight="1" x14ac:dyDescent="0.15">
      <c r="AX207" s="53"/>
      <c r="AY207" s="79"/>
      <c r="AZ207" s="79"/>
    </row>
    <row r="208" spans="50:52" ht="21" customHeight="1" x14ac:dyDescent="0.15">
      <c r="AX208" s="53"/>
      <c r="AY208" s="79"/>
      <c r="AZ208" s="79"/>
    </row>
    <row r="209" spans="50:52" ht="21" customHeight="1" x14ac:dyDescent="0.15">
      <c r="AX209" s="53"/>
      <c r="AY209" s="79"/>
      <c r="AZ209" s="79"/>
    </row>
    <row r="210" spans="50:52" ht="21" customHeight="1" x14ac:dyDescent="0.15">
      <c r="AX210" s="53"/>
      <c r="AY210" s="79"/>
      <c r="AZ210" s="79"/>
    </row>
    <row r="211" spans="50:52" ht="21" customHeight="1" x14ac:dyDescent="0.15">
      <c r="AX211" s="53"/>
      <c r="AY211" s="79"/>
      <c r="AZ211" s="79"/>
    </row>
    <row r="212" spans="50:52" ht="21" customHeight="1" x14ac:dyDescent="0.15">
      <c r="AX212" s="53"/>
      <c r="AY212" s="79"/>
      <c r="AZ212" s="79"/>
    </row>
    <row r="213" spans="50:52" ht="21" customHeight="1" x14ac:dyDescent="0.15">
      <c r="AX213" s="53"/>
      <c r="AY213" s="79"/>
      <c r="AZ213" s="79"/>
    </row>
    <row r="214" spans="50:52" ht="21" customHeight="1" x14ac:dyDescent="0.15">
      <c r="AX214" s="53"/>
      <c r="AY214" s="79"/>
      <c r="AZ214" s="79"/>
    </row>
    <row r="215" spans="50:52" ht="21" customHeight="1" x14ac:dyDescent="0.15">
      <c r="AX215" s="53"/>
      <c r="AY215" s="79"/>
      <c r="AZ215" s="79"/>
    </row>
    <row r="216" spans="50:52" ht="21" customHeight="1" x14ac:dyDescent="0.15">
      <c r="AX216" s="53"/>
      <c r="AY216" s="79"/>
      <c r="AZ216" s="79"/>
    </row>
    <row r="217" spans="50:52" ht="21" customHeight="1" x14ac:dyDescent="0.15">
      <c r="AX217" s="53"/>
      <c r="AY217" s="79"/>
      <c r="AZ217" s="79"/>
    </row>
    <row r="218" spans="50:52" ht="21" customHeight="1" x14ac:dyDescent="0.15">
      <c r="AX218" s="53"/>
      <c r="AY218" s="79"/>
      <c r="AZ218" s="79"/>
    </row>
    <row r="219" spans="50:52" ht="21" customHeight="1" x14ac:dyDescent="0.15">
      <c r="AX219" s="53"/>
      <c r="AY219" s="79"/>
      <c r="AZ219" s="79"/>
    </row>
    <row r="220" spans="50:52" ht="21" customHeight="1" x14ac:dyDescent="0.15">
      <c r="AX220" s="53"/>
      <c r="AY220" s="79"/>
      <c r="AZ220" s="79"/>
    </row>
    <row r="221" spans="50:52" ht="21" customHeight="1" x14ac:dyDescent="0.15">
      <c r="AX221" s="53"/>
      <c r="AY221" s="79"/>
      <c r="AZ221" s="79"/>
    </row>
    <row r="222" spans="50:52" ht="21" customHeight="1" x14ac:dyDescent="0.15">
      <c r="AY222" s="79"/>
      <c r="AZ222" s="79"/>
    </row>
    <row r="223" spans="50:52" ht="21" customHeight="1" x14ac:dyDescent="0.15">
      <c r="AY223" s="79"/>
      <c r="AZ223" s="79"/>
    </row>
    <row r="263" spans="51:52" ht="21" customHeight="1" x14ac:dyDescent="0.15">
      <c r="AY263" s="79"/>
      <c r="AZ263" s="79"/>
    </row>
    <row r="264" spans="51:52" ht="21" customHeight="1" x14ac:dyDescent="0.15">
      <c r="AY264" s="79"/>
      <c r="AZ264" s="79"/>
    </row>
    <row r="265" spans="51:52" ht="21" customHeight="1" x14ac:dyDescent="0.15">
      <c r="AY265" s="79"/>
      <c r="AZ265" s="79"/>
    </row>
    <row r="266" spans="51:52" ht="21" customHeight="1" x14ac:dyDescent="0.15">
      <c r="AY266" s="79"/>
      <c r="AZ266" s="79"/>
    </row>
    <row r="267" spans="51:52" ht="21" customHeight="1" x14ac:dyDescent="0.15">
      <c r="AY267" s="79"/>
      <c r="AZ267" s="79"/>
    </row>
    <row r="268" spans="51:52" ht="21" customHeight="1" x14ac:dyDescent="0.15">
      <c r="AY268" s="79"/>
      <c r="AZ268" s="79"/>
    </row>
    <row r="269" spans="51:52" ht="21" customHeight="1" x14ac:dyDescent="0.15">
      <c r="AY269" s="79"/>
      <c r="AZ269" s="79"/>
    </row>
    <row r="270" spans="51:52" ht="21" customHeight="1" x14ac:dyDescent="0.15">
      <c r="AY270" s="79"/>
      <c r="AZ270" s="79"/>
    </row>
    <row r="271" spans="51:52" ht="21" customHeight="1" x14ac:dyDescent="0.15">
      <c r="AY271" s="79"/>
      <c r="AZ271" s="79"/>
    </row>
    <row r="272" spans="51:52" ht="21" customHeight="1" x14ac:dyDescent="0.15">
      <c r="AY272" s="79"/>
      <c r="AZ272" s="79"/>
    </row>
    <row r="273" spans="51:52" ht="21" customHeight="1" x14ac:dyDescent="0.15">
      <c r="AY273" s="79"/>
      <c r="AZ273" s="79"/>
    </row>
    <row r="274" spans="51:52" ht="21" customHeight="1" x14ac:dyDescent="0.15">
      <c r="AY274" s="79"/>
      <c r="AZ274" s="79"/>
    </row>
    <row r="275" spans="51:52" ht="21" customHeight="1" x14ac:dyDescent="0.15">
      <c r="AY275" s="79"/>
      <c r="AZ275" s="79"/>
    </row>
    <row r="276" spans="51:52" ht="21" customHeight="1" x14ac:dyDescent="0.15">
      <c r="AY276" s="79"/>
      <c r="AZ276" s="79"/>
    </row>
    <row r="277" spans="51:52" ht="21" customHeight="1" x14ac:dyDescent="0.15">
      <c r="AY277" s="79"/>
      <c r="AZ277" s="79"/>
    </row>
    <row r="278" spans="51:52" ht="21" customHeight="1" x14ac:dyDescent="0.15">
      <c r="AY278" s="79"/>
      <c r="AZ278" s="79"/>
    </row>
    <row r="279" spans="51:52" ht="21" customHeight="1" x14ac:dyDescent="0.15">
      <c r="AY279" s="79"/>
      <c r="AZ279" s="79"/>
    </row>
    <row r="280" spans="51:52" ht="21" customHeight="1" x14ac:dyDescent="0.15">
      <c r="AY280" s="79"/>
      <c r="AZ280" s="79"/>
    </row>
    <row r="281" spans="51:52" ht="21" customHeight="1" x14ac:dyDescent="0.15">
      <c r="AY281" s="79"/>
      <c r="AZ281" s="79"/>
    </row>
    <row r="282" spans="51:52" ht="21" customHeight="1" x14ac:dyDescent="0.15">
      <c r="AY282" s="79"/>
      <c r="AZ282" s="79"/>
    </row>
    <row r="283" spans="51:52" ht="21" customHeight="1" x14ac:dyDescent="0.15">
      <c r="AY283" s="79"/>
      <c r="AZ283" s="79"/>
    </row>
    <row r="284" spans="51:52" ht="21" customHeight="1" x14ac:dyDescent="0.15">
      <c r="AY284" s="79"/>
      <c r="AZ284" s="79"/>
    </row>
    <row r="285" spans="51:52" ht="21" customHeight="1" x14ac:dyDescent="0.15">
      <c r="AY285" s="79"/>
      <c r="AZ285" s="79"/>
    </row>
    <row r="286" spans="51:52" ht="21" customHeight="1" x14ac:dyDescent="0.15">
      <c r="AY286" s="79"/>
      <c r="AZ286" s="79"/>
    </row>
    <row r="287" spans="51:52" ht="21" customHeight="1" x14ac:dyDescent="0.15">
      <c r="AY287" s="79"/>
      <c r="AZ287" s="79"/>
    </row>
    <row r="288" spans="51:52" ht="21" customHeight="1" x14ac:dyDescent="0.15">
      <c r="AY288" s="79"/>
      <c r="AZ288" s="79"/>
    </row>
    <row r="289" spans="51:52" ht="21" customHeight="1" x14ac:dyDescent="0.15">
      <c r="AY289" s="79"/>
      <c r="AZ289" s="79"/>
    </row>
    <row r="290" spans="51:52" ht="21" customHeight="1" x14ac:dyDescent="0.15">
      <c r="AY290" s="79"/>
      <c r="AZ290" s="79"/>
    </row>
    <row r="291" spans="51:52" ht="21" customHeight="1" x14ac:dyDescent="0.15">
      <c r="AY291" s="79"/>
      <c r="AZ291" s="79"/>
    </row>
    <row r="292" spans="51:52" ht="21" customHeight="1" x14ac:dyDescent="0.15">
      <c r="AY292" s="79"/>
      <c r="AZ292" s="79"/>
    </row>
    <row r="293" spans="51:52" ht="21" customHeight="1" x14ac:dyDescent="0.15">
      <c r="AY293" s="79"/>
      <c r="AZ293" s="79"/>
    </row>
    <row r="294" spans="51:52" ht="21" customHeight="1" x14ac:dyDescent="0.15">
      <c r="AY294" s="79"/>
      <c r="AZ294" s="79"/>
    </row>
    <row r="295" spans="51:52" ht="21" customHeight="1" x14ac:dyDescent="0.15">
      <c r="AY295" s="79"/>
      <c r="AZ295" s="79"/>
    </row>
    <row r="296" spans="51:52" ht="21" customHeight="1" x14ac:dyDescent="0.15">
      <c r="AY296" s="79"/>
      <c r="AZ296" s="79"/>
    </row>
    <row r="297" spans="51:52" ht="21" customHeight="1" x14ac:dyDescent="0.15">
      <c r="AY297" s="79"/>
      <c r="AZ297" s="79"/>
    </row>
    <row r="298" spans="51:52" ht="21" customHeight="1" x14ac:dyDescent="0.15">
      <c r="AY298" s="79"/>
      <c r="AZ298" s="79"/>
    </row>
    <row r="299" spans="51:52" ht="21" customHeight="1" x14ac:dyDescent="0.15">
      <c r="AY299" s="79"/>
      <c r="AZ299" s="79"/>
    </row>
    <row r="300" spans="51:52" ht="21" customHeight="1" x14ac:dyDescent="0.15">
      <c r="AY300" s="79"/>
      <c r="AZ300" s="79"/>
    </row>
    <row r="301" spans="51:52" ht="21" customHeight="1" x14ac:dyDescent="0.15">
      <c r="AY301" s="79"/>
      <c r="AZ301" s="79"/>
    </row>
    <row r="302" spans="51:52" ht="21" customHeight="1" x14ac:dyDescent="0.15">
      <c r="AY302" s="79"/>
      <c r="AZ302" s="79"/>
    </row>
    <row r="303" spans="51:52" ht="21" customHeight="1" x14ac:dyDescent="0.15">
      <c r="AY303" s="79"/>
      <c r="AZ303" s="79"/>
    </row>
    <row r="304" spans="51:52" ht="21" customHeight="1" x14ac:dyDescent="0.15">
      <c r="AY304" s="79"/>
      <c r="AZ304" s="79"/>
    </row>
    <row r="305" spans="51:52" ht="21" customHeight="1" x14ac:dyDescent="0.15">
      <c r="AY305" s="79"/>
      <c r="AZ305" s="79"/>
    </row>
    <row r="306" spans="51:52" ht="21" customHeight="1" x14ac:dyDescent="0.15">
      <c r="AY306" s="79"/>
      <c r="AZ306" s="79"/>
    </row>
    <row r="307" spans="51:52" ht="21" customHeight="1" x14ac:dyDescent="0.15">
      <c r="AY307" s="79"/>
      <c r="AZ307" s="79"/>
    </row>
    <row r="308" spans="51:52" ht="21" customHeight="1" x14ac:dyDescent="0.15">
      <c r="AY308" s="79"/>
      <c r="AZ308" s="79"/>
    </row>
    <row r="309" spans="51:52" ht="21" customHeight="1" x14ac:dyDescent="0.15">
      <c r="AY309" s="79"/>
      <c r="AZ309" s="79"/>
    </row>
    <row r="310" spans="51:52" ht="21" customHeight="1" x14ac:dyDescent="0.15">
      <c r="AY310" s="79"/>
      <c r="AZ310" s="79"/>
    </row>
    <row r="311" spans="51:52" ht="21" customHeight="1" x14ac:dyDescent="0.15">
      <c r="AY311" s="79"/>
      <c r="AZ311" s="79"/>
    </row>
    <row r="312" spans="51:52" ht="21" customHeight="1" x14ac:dyDescent="0.15">
      <c r="AY312" s="79"/>
      <c r="AZ312" s="79"/>
    </row>
    <row r="313" spans="51:52" ht="21" customHeight="1" x14ac:dyDescent="0.15">
      <c r="AY313" s="79"/>
      <c r="AZ313" s="79"/>
    </row>
    <row r="314" spans="51:52" ht="21" customHeight="1" x14ac:dyDescent="0.15">
      <c r="AY314" s="79"/>
      <c r="AZ314" s="79"/>
    </row>
    <row r="315" spans="51:52" ht="21" customHeight="1" x14ac:dyDescent="0.15">
      <c r="AY315" s="79"/>
      <c r="AZ315" s="79"/>
    </row>
    <row r="316" spans="51:52" ht="21" customHeight="1" x14ac:dyDescent="0.15">
      <c r="AY316" s="79"/>
      <c r="AZ316" s="79"/>
    </row>
    <row r="317" spans="51:52" ht="21" customHeight="1" x14ac:dyDescent="0.15">
      <c r="AY317" s="79"/>
      <c r="AZ317" s="79"/>
    </row>
    <row r="318" spans="51:52" ht="21" customHeight="1" x14ac:dyDescent="0.15">
      <c r="AY318" s="79"/>
      <c r="AZ318" s="79"/>
    </row>
    <row r="319" spans="51:52" ht="21" customHeight="1" x14ac:dyDescent="0.15">
      <c r="AY319" s="79"/>
      <c r="AZ319" s="79"/>
    </row>
    <row r="320" spans="51:52" ht="21" customHeight="1" x14ac:dyDescent="0.15">
      <c r="AY320" s="79"/>
      <c r="AZ320" s="79"/>
    </row>
    <row r="321" spans="51:52" ht="21" customHeight="1" x14ac:dyDescent="0.15">
      <c r="AY321" s="79"/>
      <c r="AZ321" s="79"/>
    </row>
    <row r="322" spans="51:52" ht="21" customHeight="1" x14ac:dyDescent="0.15">
      <c r="AY322" s="79"/>
      <c r="AZ322" s="79"/>
    </row>
    <row r="323" spans="51:52" ht="21" customHeight="1" x14ac:dyDescent="0.15">
      <c r="AY323" s="79"/>
      <c r="AZ323" s="79"/>
    </row>
    <row r="324" spans="51:52" ht="21" customHeight="1" x14ac:dyDescent="0.15">
      <c r="AY324" s="79"/>
      <c r="AZ324" s="79"/>
    </row>
    <row r="325" spans="51:52" ht="21" customHeight="1" x14ac:dyDescent="0.15">
      <c r="AY325" s="79"/>
      <c r="AZ325" s="79"/>
    </row>
    <row r="326" spans="51:52" ht="21" customHeight="1" x14ac:dyDescent="0.15">
      <c r="AY326" s="79"/>
      <c r="AZ326" s="79"/>
    </row>
    <row r="327" spans="51:52" ht="21" customHeight="1" x14ac:dyDescent="0.15">
      <c r="AY327" s="79"/>
      <c r="AZ327" s="79"/>
    </row>
    <row r="328" spans="51:52" ht="21" customHeight="1" x14ac:dyDescent="0.15">
      <c r="AY328" s="79"/>
      <c r="AZ328" s="79"/>
    </row>
    <row r="329" spans="51:52" ht="21" customHeight="1" x14ac:dyDescent="0.15">
      <c r="AY329" s="79"/>
      <c r="AZ329" s="79"/>
    </row>
    <row r="330" spans="51:52" ht="21" customHeight="1" x14ac:dyDescent="0.15">
      <c r="AY330" s="79"/>
      <c r="AZ330" s="79"/>
    </row>
    <row r="331" spans="51:52" ht="21" customHeight="1" x14ac:dyDescent="0.15">
      <c r="AY331" s="79"/>
      <c r="AZ331" s="79"/>
    </row>
    <row r="332" spans="51:52" ht="21" customHeight="1" x14ac:dyDescent="0.15">
      <c r="AY332" s="79"/>
      <c r="AZ332" s="79"/>
    </row>
    <row r="333" spans="51:52" ht="21" customHeight="1" x14ac:dyDescent="0.15">
      <c r="AY333" s="79"/>
      <c r="AZ333" s="79"/>
    </row>
    <row r="334" spans="51:52" ht="21" customHeight="1" x14ac:dyDescent="0.15">
      <c r="AY334" s="79"/>
      <c r="AZ334" s="79"/>
    </row>
    <row r="335" spans="51:52" ht="21" customHeight="1" x14ac:dyDescent="0.15">
      <c r="AY335" s="79"/>
      <c r="AZ335" s="79"/>
    </row>
    <row r="336" spans="51:52" ht="21" customHeight="1" x14ac:dyDescent="0.15">
      <c r="AY336" s="79"/>
      <c r="AZ336" s="79"/>
    </row>
    <row r="337" spans="51:52" ht="21" customHeight="1" x14ac:dyDescent="0.15">
      <c r="AY337" s="79"/>
      <c r="AZ337" s="79"/>
    </row>
    <row r="338" spans="51:52" ht="21" customHeight="1" x14ac:dyDescent="0.15">
      <c r="AY338" s="79"/>
      <c r="AZ338" s="79"/>
    </row>
    <row r="339" spans="51:52" ht="21" customHeight="1" x14ac:dyDescent="0.15">
      <c r="AY339" s="79"/>
      <c r="AZ339" s="79"/>
    </row>
    <row r="340" spans="51:52" ht="21" customHeight="1" x14ac:dyDescent="0.15">
      <c r="AY340" s="79"/>
      <c r="AZ340" s="79"/>
    </row>
    <row r="341" spans="51:52" ht="21" customHeight="1" x14ac:dyDescent="0.15">
      <c r="AY341" s="79"/>
      <c r="AZ341" s="79"/>
    </row>
    <row r="342" spans="51:52" ht="21" customHeight="1" x14ac:dyDescent="0.15">
      <c r="AY342" s="79"/>
      <c r="AZ342" s="79"/>
    </row>
    <row r="343" spans="51:52" ht="21" customHeight="1" x14ac:dyDescent="0.15">
      <c r="AY343" s="79"/>
      <c r="AZ343" s="79"/>
    </row>
    <row r="344" spans="51:52" ht="21" customHeight="1" x14ac:dyDescent="0.15">
      <c r="AY344" s="79"/>
      <c r="AZ344" s="79"/>
    </row>
    <row r="345" spans="51:52" ht="21" customHeight="1" x14ac:dyDescent="0.15">
      <c r="AY345" s="79"/>
      <c r="AZ345" s="79"/>
    </row>
    <row r="346" spans="51:52" ht="21" customHeight="1" x14ac:dyDescent="0.15">
      <c r="AY346" s="79"/>
      <c r="AZ346" s="79"/>
    </row>
    <row r="347" spans="51:52" ht="21" customHeight="1" x14ac:dyDescent="0.15">
      <c r="AY347" s="79"/>
      <c r="AZ347" s="79"/>
    </row>
    <row r="348" spans="51:52" ht="21" customHeight="1" x14ac:dyDescent="0.15">
      <c r="AY348" s="79"/>
      <c r="AZ348" s="79"/>
    </row>
    <row r="349" spans="51:52" ht="21" customHeight="1" x14ac:dyDescent="0.15">
      <c r="AY349" s="79"/>
      <c r="AZ349" s="79"/>
    </row>
    <row r="350" spans="51:52" ht="21" customHeight="1" x14ac:dyDescent="0.15">
      <c r="AY350" s="79"/>
      <c r="AZ350" s="79"/>
    </row>
    <row r="351" spans="51:52" ht="21" customHeight="1" x14ac:dyDescent="0.15">
      <c r="AY351" s="79"/>
      <c r="AZ351" s="79"/>
    </row>
    <row r="352" spans="51:52" ht="21" customHeight="1" x14ac:dyDescent="0.15">
      <c r="AY352" s="79"/>
      <c r="AZ352" s="79"/>
    </row>
    <row r="353" spans="51:52" ht="21" customHeight="1" x14ac:dyDescent="0.15">
      <c r="AY353" s="79"/>
      <c r="AZ353" s="79"/>
    </row>
    <row r="354" spans="51:52" ht="21" customHeight="1" x14ac:dyDescent="0.15">
      <c r="AY354" s="79"/>
      <c r="AZ354" s="79"/>
    </row>
    <row r="355" spans="51:52" ht="21" customHeight="1" x14ac:dyDescent="0.15">
      <c r="AY355" s="79"/>
      <c r="AZ355" s="79"/>
    </row>
    <row r="356" spans="51:52" ht="21" customHeight="1" x14ac:dyDescent="0.15">
      <c r="AY356" s="79"/>
      <c r="AZ356" s="79"/>
    </row>
    <row r="357" spans="51:52" ht="21" customHeight="1" x14ac:dyDescent="0.15">
      <c r="AY357" s="79"/>
      <c r="AZ357" s="79"/>
    </row>
    <row r="358" spans="51:52" ht="21" customHeight="1" x14ac:dyDescent="0.15">
      <c r="AY358" s="79"/>
      <c r="AZ358" s="79"/>
    </row>
    <row r="359" spans="51:52" ht="21" customHeight="1" x14ac:dyDescent="0.15">
      <c r="AY359" s="79"/>
      <c r="AZ359" s="79"/>
    </row>
    <row r="360" spans="51:52" ht="21" customHeight="1" x14ac:dyDescent="0.15">
      <c r="AY360" s="79"/>
      <c r="AZ360" s="79"/>
    </row>
    <row r="361" spans="51:52" ht="21" customHeight="1" x14ac:dyDescent="0.15">
      <c r="AY361" s="79"/>
      <c r="AZ361" s="79"/>
    </row>
    <row r="362" spans="51:52" ht="21" customHeight="1" x14ac:dyDescent="0.15">
      <c r="AY362" s="79"/>
      <c r="AZ362" s="79"/>
    </row>
    <row r="363" spans="51:52" ht="21" customHeight="1" x14ac:dyDescent="0.15">
      <c r="AY363" s="79"/>
      <c r="AZ363" s="79"/>
    </row>
    <row r="364" spans="51:52" ht="21" customHeight="1" x14ac:dyDescent="0.15">
      <c r="AY364" s="79"/>
      <c r="AZ364" s="79"/>
    </row>
    <row r="365" spans="51:52" ht="21" customHeight="1" x14ac:dyDescent="0.15">
      <c r="AY365" s="79"/>
      <c r="AZ365" s="79"/>
    </row>
    <row r="366" spans="51:52" ht="21" customHeight="1" x14ac:dyDescent="0.15">
      <c r="AY366" s="79"/>
      <c r="AZ366" s="79"/>
    </row>
    <row r="367" spans="51:52" ht="21" customHeight="1" x14ac:dyDescent="0.15">
      <c r="AY367" s="79"/>
      <c r="AZ367" s="79"/>
    </row>
    <row r="368" spans="51:52" ht="21" customHeight="1" x14ac:dyDescent="0.15">
      <c r="AY368" s="79"/>
      <c r="AZ368" s="79"/>
    </row>
    <row r="369" spans="51:52" ht="21" customHeight="1" x14ac:dyDescent="0.15">
      <c r="AY369" s="79"/>
      <c r="AZ369" s="79"/>
    </row>
    <row r="370" spans="51:52" ht="21" customHeight="1" x14ac:dyDescent="0.15">
      <c r="AY370" s="79"/>
      <c r="AZ370" s="79"/>
    </row>
  </sheetData>
  <sheetProtection selectLockedCells="1"/>
  <mergeCells count="19">
    <mergeCell ref="D4:D6"/>
    <mergeCell ref="B2:O2"/>
    <mergeCell ref="B4:B6"/>
    <mergeCell ref="AL4:AP4"/>
    <mergeCell ref="AH4:AK4"/>
    <mergeCell ref="I4:M4"/>
    <mergeCell ref="C4:C6"/>
    <mergeCell ref="E4:H4"/>
    <mergeCell ref="AB5:AC5"/>
    <mergeCell ref="AF5:AG5"/>
    <mergeCell ref="AD5:AE5"/>
    <mergeCell ref="AB4:AG4"/>
    <mergeCell ref="AY4:AZ4"/>
    <mergeCell ref="AS2:AU2"/>
    <mergeCell ref="R2:U2"/>
    <mergeCell ref="AB2:AC2"/>
    <mergeCell ref="V4:AA4"/>
    <mergeCell ref="AQ4:AV4"/>
    <mergeCell ref="N4:U4"/>
  </mergeCells>
  <phoneticPr fontId="43"/>
  <dataValidations disablePrompts="1" count="1">
    <dataValidation type="list" allowBlank="1" showInputMessage="1" showErrorMessage="1" sqref="N7:N21" xr:uid="{D8CB0198-C680-4756-8AD5-51D09082B373}">
      <formula1>INDIRECT("table01[食品名]")</formula1>
    </dataValidation>
  </dataValidations>
  <pageMargins left="0.15748031496062992" right="0" top="0.78740157480314965" bottom="0.78740157480314965" header="0.51181102362204722" footer="0.51181102362204722"/>
  <pageSetup paperSize="8" scale="75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部屋作成複数">
                <anchor moveWithCells="1" sizeWithCells="1">
                  <from>
                    <xdr:col>15</xdr:col>
                    <xdr:colOff>19050</xdr:colOff>
                    <xdr:row>0</xdr:row>
                    <xdr:rowOff>171450</xdr:rowOff>
                  </from>
                  <to>
                    <xdr:col>16</xdr:col>
                    <xdr:colOff>390525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8FD0-EC65-4BF7-9DF7-4ACBD40F334E}">
  <dimension ref="A1:BA71"/>
  <sheetViews>
    <sheetView tabSelected="1" view="pageBreakPreview" zoomScale="55" zoomScaleNormal="100" zoomScaleSheetLayoutView="55" workbookViewId="0">
      <selection activeCell="D7" sqref="D7"/>
    </sheetView>
  </sheetViews>
  <sheetFormatPr defaultRowHeight="12" x14ac:dyDescent="0.15"/>
  <cols>
    <col min="1" max="1" width="3.375" style="64" customWidth="1"/>
    <col min="2" max="2" width="2.375" style="64" customWidth="1"/>
    <col min="3" max="3" width="10.625" style="64" customWidth="1"/>
    <col min="4" max="4" width="20.625" style="64" customWidth="1"/>
    <col min="5" max="5" width="5.625" style="63" customWidth="1"/>
    <col min="6" max="7" width="3.125" style="64" customWidth="1"/>
    <col min="8" max="8" width="3.125" style="63" customWidth="1"/>
    <col min="9" max="10" width="3.125" style="64" customWidth="1"/>
    <col min="11" max="13" width="3.125" style="63" customWidth="1"/>
    <col min="14" max="50" width="3.125" style="64" customWidth="1"/>
    <col min="51" max="180" width="3.375" style="64" customWidth="1"/>
    <col min="181" max="16384" width="9" style="64"/>
  </cols>
  <sheetData>
    <row r="1" spans="1:53" x14ac:dyDescent="0.15">
      <c r="B1" s="64">
        <v>1</v>
      </c>
      <c r="C1" s="64">
        <v>2</v>
      </c>
      <c r="D1" s="64">
        <v>3</v>
      </c>
      <c r="E1" s="64">
        <v>4</v>
      </c>
      <c r="F1" s="64">
        <v>5</v>
      </c>
      <c r="G1" s="64">
        <v>6</v>
      </c>
      <c r="H1" s="64">
        <v>7</v>
      </c>
      <c r="I1" s="64">
        <v>8</v>
      </c>
      <c r="J1" s="64">
        <v>9</v>
      </c>
      <c r="K1" s="64">
        <v>10</v>
      </c>
      <c r="L1" s="64">
        <v>11</v>
      </c>
      <c r="M1" s="64">
        <v>12</v>
      </c>
      <c r="N1" s="64">
        <v>13</v>
      </c>
      <c r="O1" s="64">
        <v>14</v>
      </c>
      <c r="P1" s="64">
        <v>15</v>
      </c>
      <c r="Q1" s="64">
        <v>16</v>
      </c>
      <c r="R1" s="64">
        <v>17</v>
      </c>
      <c r="S1" s="64">
        <v>18</v>
      </c>
      <c r="T1" s="64">
        <v>19</v>
      </c>
      <c r="U1" s="64">
        <v>20</v>
      </c>
      <c r="V1" s="64">
        <v>21</v>
      </c>
      <c r="W1" s="64">
        <v>22</v>
      </c>
      <c r="X1" s="64">
        <v>23</v>
      </c>
      <c r="Y1" s="64">
        <v>24</v>
      </c>
      <c r="Z1" s="64">
        <v>25</v>
      </c>
      <c r="AA1" s="64">
        <v>26</v>
      </c>
      <c r="AB1" s="64">
        <v>27</v>
      </c>
      <c r="AC1" s="64">
        <v>28</v>
      </c>
      <c r="AD1" s="64">
        <v>29</v>
      </c>
      <c r="AE1" s="64">
        <v>30</v>
      </c>
      <c r="AF1" s="64">
        <v>31</v>
      </c>
      <c r="AG1" s="64">
        <v>32</v>
      </c>
      <c r="AH1" s="64">
        <v>33</v>
      </c>
      <c r="AI1" s="64">
        <v>34</v>
      </c>
      <c r="AJ1" s="64">
        <v>35</v>
      </c>
      <c r="AK1" s="64">
        <v>36</v>
      </c>
      <c r="AL1" s="64">
        <v>37</v>
      </c>
      <c r="AM1" s="64">
        <v>38</v>
      </c>
      <c r="AN1" s="64">
        <v>39</v>
      </c>
      <c r="AO1" s="64">
        <v>40</v>
      </c>
      <c r="AP1" s="64">
        <v>41</v>
      </c>
      <c r="AQ1" s="64">
        <v>42</v>
      </c>
      <c r="AR1" s="64">
        <v>43</v>
      </c>
      <c r="AS1" s="64">
        <v>44</v>
      </c>
      <c r="AT1" s="64">
        <v>45</v>
      </c>
      <c r="AU1" s="64">
        <v>46</v>
      </c>
      <c r="AV1" s="64">
        <v>47</v>
      </c>
      <c r="AW1" s="64">
        <v>48</v>
      </c>
      <c r="AX1" s="64">
        <v>49</v>
      </c>
      <c r="AY1" s="64">
        <v>50</v>
      </c>
      <c r="AZ1" s="64">
        <v>51</v>
      </c>
      <c r="BA1" s="64">
        <v>52</v>
      </c>
    </row>
    <row r="2" spans="1:53" x14ac:dyDescent="0.15">
      <c r="E2" s="64"/>
      <c r="H2" s="64"/>
      <c r="K2" s="64"/>
      <c r="L2" s="64"/>
      <c r="M2" s="64"/>
    </row>
    <row r="3" spans="1:53" ht="21" customHeight="1" x14ac:dyDescent="0.15">
      <c r="C3" s="872" t="s">
        <v>576</v>
      </c>
    </row>
    <row r="4" spans="1:53" ht="6.6" customHeight="1" x14ac:dyDescent="0.15">
      <c r="C4" s="358"/>
      <c r="D4" s="851"/>
      <c r="E4" s="358"/>
      <c r="F4" s="851"/>
      <c r="G4" s="851"/>
      <c r="H4" s="358"/>
      <c r="I4" s="851"/>
      <c r="J4" s="851"/>
      <c r="K4" s="358"/>
      <c r="L4" s="358"/>
      <c r="M4" s="358"/>
      <c r="N4" s="851"/>
      <c r="O4" s="851"/>
      <c r="P4" s="851"/>
      <c r="Q4" s="851"/>
    </row>
    <row r="5" spans="1:53" ht="21" customHeight="1" x14ac:dyDescent="0.15">
      <c r="C5" s="873" t="s">
        <v>577</v>
      </c>
      <c r="D5" s="853" t="s">
        <v>578</v>
      </c>
      <c r="E5" s="852" t="s">
        <v>579</v>
      </c>
      <c r="F5" s="853"/>
      <c r="G5" s="853"/>
      <c r="H5" s="853"/>
      <c r="I5" s="854"/>
      <c r="J5" s="853" t="s">
        <v>584</v>
      </c>
      <c r="K5" s="853"/>
      <c r="L5" s="853"/>
      <c r="M5" s="853"/>
      <c r="N5" s="853"/>
      <c r="O5" s="853"/>
      <c r="P5" s="853"/>
      <c r="Q5" s="853"/>
      <c r="R5" s="853"/>
      <c r="S5" s="853"/>
      <c r="T5" s="853"/>
      <c r="U5" s="853"/>
      <c r="V5" s="853"/>
      <c r="W5" s="853"/>
      <c r="X5" s="853"/>
      <c r="Y5" s="853"/>
      <c r="Z5" s="853"/>
      <c r="AA5" s="853"/>
      <c r="AB5" s="853"/>
      <c r="AC5" s="853"/>
      <c r="AD5" s="853"/>
      <c r="AE5" s="853"/>
      <c r="AF5" s="853"/>
      <c r="AG5" s="853"/>
      <c r="AH5" s="393" t="s">
        <v>580</v>
      </c>
      <c r="AI5" s="391"/>
      <c r="AJ5" s="391"/>
      <c r="AK5" s="391"/>
      <c r="AL5" s="391"/>
      <c r="AM5" s="398"/>
      <c r="AN5" s="852" t="s">
        <v>198</v>
      </c>
      <c r="AO5" s="854"/>
      <c r="AP5" s="853" t="s">
        <v>585</v>
      </c>
      <c r="AQ5" s="853"/>
      <c r="AR5" s="853"/>
      <c r="AS5" s="853"/>
      <c r="AT5" s="853"/>
      <c r="AU5" s="853"/>
      <c r="AV5" s="853"/>
      <c r="AW5" s="854"/>
      <c r="AX5" s="63"/>
    </row>
    <row r="6" spans="1:53" ht="21" customHeight="1" x14ac:dyDescent="0.15">
      <c r="A6" s="64">
        <v>1</v>
      </c>
      <c r="C6" s="874"/>
      <c r="D6" s="856"/>
      <c r="E6" s="855"/>
      <c r="F6" s="856"/>
      <c r="G6" s="856"/>
      <c r="H6" s="856"/>
      <c r="I6" s="857"/>
      <c r="J6" s="856"/>
      <c r="K6" s="856"/>
      <c r="L6" s="856"/>
      <c r="M6" s="856"/>
      <c r="N6" s="856"/>
      <c r="O6" s="856"/>
      <c r="P6" s="856"/>
      <c r="Q6" s="856"/>
      <c r="R6" s="856"/>
      <c r="S6" s="856"/>
      <c r="T6" s="856"/>
      <c r="U6" s="856"/>
      <c r="V6" s="856"/>
      <c r="W6" s="856"/>
      <c r="X6" s="856"/>
      <c r="Y6" s="856"/>
      <c r="Z6" s="856"/>
      <c r="AA6" s="856"/>
      <c r="AB6" s="856"/>
      <c r="AC6" s="856"/>
      <c r="AD6" s="856"/>
      <c r="AE6" s="856"/>
      <c r="AF6" s="856"/>
      <c r="AG6" s="856"/>
      <c r="AH6" s="394" t="s">
        <v>581</v>
      </c>
      <c r="AI6" s="392"/>
      <c r="AJ6" s="267" t="s">
        <v>582</v>
      </c>
      <c r="AK6" s="267"/>
      <c r="AL6" s="267" t="s">
        <v>583</v>
      </c>
      <c r="AM6" s="269"/>
      <c r="AN6" s="855"/>
      <c r="AO6" s="857"/>
      <c r="AP6" s="856"/>
      <c r="AQ6" s="856"/>
      <c r="AR6" s="856"/>
      <c r="AS6" s="856"/>
      <c r="AT6" s="856"/>
      <c r="AU6" s="856"/>
      <c r="AV6" s="856"/>
      <c r="AW6" s="857"/>
      <c r="AX6" s="63"/>
    </row>
    <row r="7" spans="1:53" ht="21" customHeight="1" x14ac:dyDescent="0.15">
      <c r="A7" s="64">
        <v>2</v>
      </c>
      <c r="C7" s="875"/>
      <c r="D7" s="859"/>
      <c r="E7" s="862"/>
      <c r="F7" s="859"/>
      <c r="G7" s="859"/>
      <c r="H7" s="861"/>
      <c r="I7" s="860"/>
      <c r="J7" s="859"/>
      <c r="K7" s="861"/>
      <c r="L7" s="861"/>
      <c r="M7" s="861"/>
      <c r="N7" s="859"/>
      <c r="O7" s="859"/>
      <c r="P7" s="859"/>
      <c r="Q7" s="859"/>
      <c r="R7" s="859"/>
      <c r="S7" s="859"/>
      <c r="T7" s="859"/>
      <c r="U7" s="859"/>
      <c r="V7" s="859"/>
      <c r="W7" s="859"/>
      <c r="X7" s="859"/>
      <c r="Y7" s="859"/>
      <c r="Z7" s="859"/>
      <c r="AA7" s="859"/>
      <c r="AB7" s="859"/>
      <c r="AC7" s="859"/>
      <c r="AD7" s="859"/>
      <c r="AE7" s="859"/>
      <c r="AF7" s="859"/>
      <c r="AG7" s="859"/>
      <c r="AH7" s="858"/>
      <c r="AI7" s="859"/>
      <c r="AJ7" s="859"/>
      <c r="AK7" s="859"/>
      <c r="AL7" s="859"/>
      <c r="AM7" s="860"/>
      <c r="AN7" s="858"/>
      <c r="AO7" s="860"/>
      <c r="AP7" s="859"/>
      <c r="AQ7" s="859"/>
      <c r="AR7" s="859"/>
      <c r="AS7" s="859"/>
      <c r="AT7" s="859"/>
      <c r="AU7" s="859"/>
      <c r="AV7" s="859"/>
      <c r="AW7" s="860"/>
    </row>
    <row r="8" spans="1:53" ht="21" customHeight="1" x14ac:dyDescent="0.15">
      <c r="A8" s="64">
        <v>3</v>
      </c>
      <c r="C8" s="876"/>
      <c r="D8" s="864"/>
      <c r="E8" s="866"/>
      <c r="F8" s="864"/>
      <c r="G8" s="864"/>
      <c r="H8" s="126"/>
      <c r="I8" s="865"/>
      <c r="J8" s="864"/>
      <c r="K8" s="126"/>
      <c r="L8" s="126"/>
      <c r="M8" s="126"/>
      <c r="N8" s="864"/>
      <c r="O8" s="864"/>
      <c r="P8" s="864"/>
      <c r="Q8" s="864"/>
      <c r="R8" s="864"/>
      <c r="S8" s="864"/>
      <c r="T8" s="864"/>
      <c r="U8" s="864"/>
      <c r="V8" s="864"/>
      <c r="W8" s="864"/>
      <c r="X8" s="864"/>
      <c r="Y8" s="864"/>
      <c r="Z8" s="864"/>
      <c r="AA8" s="864"/>
      <c r="AB8" s="864"/>
      <c r="AC8" s="864"/>
      <c r="AD8" s="864"/>
      <c r="AE8" s="864"/>
      <c r="AF8" s="864"/>
      <c r="AG8" s="864"/>
      <c r="AH8" s="863"/>
      <c r="AI8" s="864"/>
      <c r="AJ8" s="864"/>
      <c r="AK8" s="864"/>
      <c r="AL8" s="864"/>
      <c r="AM8" s="865"/>
      <c r="AN8" s="863"/>
      <c r="AO8" s="865"/>
      <c r="AP8" s="864"/>
      <c r="AQ8" s="864"/>
      <c r="AR8" s="864"/>
      <c r="AS8" s="864"/>
      <c r="AT8" s="864"/>
      <c r="AU8" s="864"/>
      <c r="AV8" s="864"/>
      <c r="AW8" s="865"/>
    </row>
    <row r="9" spans="1:53" ht="21" customHeight="1" x14ac:dyDescent="0.15">
      <c r="A9" s="64">
        <v>4</v>
      </c>
      <c r="C9" s="876"/>
      <c r="D9" s="864"/>
      <c r="E9" s="866"/>
      <c r="F9" s="864"/>
      <c r="G9" s="864"/>
      <c r="H9" s="126"/>
      <c r="I9" s="865"/>
      <c r="J9" s="864"/>
      <c r="K9" s="126"/>
      <c r="L9" s="126"/>
      <c r="M9" s="126"/>
      <c r="N9" s="864"/>
      <c r="O9" s="864"/>
      <c r="P9" s="864"/>
      <c r="Q9" s="864"/>
      <c r="R9" s="864"/>
      <c r="S9" s="864"/>
      <c r="T9" s="864"/>
      <c r="U9" s="864"/>
      <c r="V9" s="864"/>
      <c r="W9" s="864"/>
      <c r="X9" s="864"/>
      <c r="Y9" s="864"/>
      <c r="Z9" s="864"/>
      <c r="AA9" s="864"/>
      <c r="AB9" s="864"/>
      <c r="AC9" s="864"/>
      <c r="AD9" s="864"/>
      <c r="AE9" s="864"/>
      <c r="AF9" s="864"/>
      <c r="AG9" s="864"/>
      <c r="AH9" s="863"/>
      <c r="AI9" s="864"/>
      <c r="AJ9" s="864"/>
      <c r="AK9" s="864"/>
      <c r="AL9" s="864"/>
      <c r="AM9" s="865"/>
      <c r="AN9" s="863"/>
      <c r="AO9" s="865"/>
      <c r="AP9" s="864"/>
      <c r="AQ9" s="864"/>
      <c r="AR9" s="864"/>
      <c r="AS9" s="864"/>
      <c r="AT9" s="864"/>
      <c r="AU9" s="864"/>
      <c r="AV9" s="864"/>
      <c r="AW9" s="865"/>
    </row>
    <row r="10" spans="1:53" ht="21" customHeight="1" x14ac:dyDescent="0.15">
      <c r="A10" s="64">
        <v>5</v>
      </c>
      <c r="C10" s="876"/>
      <c r="D10" s="864"/>
      <c r="E10" s="866"/>
      <c r="F10" s="864"/>
      <c r="G10" s="864"/>
      <c r="H10" s="126"/>
      <c r="I10" s="865"/>
      <c r="J10" s="864"/>
      <c r="K10" s="126"/>
      <c r="L10" s="126"/>
      <c r="M10" s="126"/>
      <c r="N10" s="864"/>
      <c r="O10" s="864"/>
      <c r="P10" s="864"/>
      <c r="Q10" s="864"/>
      <c r="R10" s="864"/>
      <c r="S10" s="864"/>
      <c r="T10" s="864"/>
      <c r="U10" s="864"/>
      <c r="V10" s="864"/>
      <c r="W10" s="864"/>
      <c r="X10" s="864"/>
      <c r="Y10" s="864"/>
      <c r="Z10" s="864"/>
      <c r="AA10" s="864"/>
      <c r="AB10" s="864"/>
      <c r="AC10" s="864"/>
      <c r="AD10" s="864"/>
      <c r="AE10" s="864"/>
      <c r="AF10" s="864"/>
      <c r="AG10" s="864"/>
      <c r="AH10" s="863"/>
      <c r="AI10" s="864"/>
      <c r="AJ10" s="864"/>
      <c r="AK10" s="864"/>
      <c r="AL10" s="864"/>
      <c r="AM10" s="865"/>
      <c r="AN10" s="863"/>
      <c r="AO10" s="865"/>
      <c r="AP10" s="864"/>
      <c r="AQ10" s="864"/>
      <c r="AR10" s="864"/>
      <c r="AS10" s="864"/>
      <c r="AT10" s="864"/>
      <c r="AU10" s="864"/>
      <c r="AV10" s="864"/>
      <c r="AW10" s="865"/>
    </row>
    <row r="11" spans="1:53" ht="21" customHeight="1" x14ac:dyDescent="0.15">
      <c r="A11" s="64">
        <v>6</v>
      </c>
      <c r="C11" s="876"/>
      <c r="D11" s="864"/>
      <c r="E11" s="866"/>
      <c r="F11" s="864"/>
      <c r="G11" s="864"/>
      <c r="H11" s="126"/>
      <c r="I11" s="865"/>
      <c r="J11" s="864"/>
      <c r="K11" s="126"/>
      <c r="L11" s="126"/>
      <c r="M11" s="126"/>
      <c r="N11" s="864"/>
      <c r="O11" s="864"/>
      <c r="P11" s="864"/>
      <c r="Q11" s="864"/>
      <c r="R11" s="864"/>
      <c r="S11" s="864"/>
      <c r="T11" s="864"/>
      <c r="U11" s="864"/>
      <c r="V11" s="864"/>
      <c r="W11" s="864"/>
      <c r="X11" s="864"/>
      <c r="Y11" s="864"/>
      <c r="Z11" s="864"/>
      <c r="AA11" s="864"/>
      <c r="AB11" s="864"/>
      <c r="AC11" s="864"/>
      <c r="AD11" s="864"/>
      <c r="AE11" s="864"/>
      <c r="AF11" s="864"/>
      <c r="AG11" s="864"/>
      <c r="AH11" s="863"/>
      <c r="AI11" s="864"/>
      <c r="AJ11" s="864"/>
      <c r="AK11" s="864"/>
      <c r="AL11" s="864"/>
      <c r="AM11" s="865"/>
      <c r="AN11" s="863"/>
      <c r="AO11" s="865"/>
      <c r="AP11" s="864"/>
      <c r="AQ11" s="864"/>
      <c r="AR11" s="864"/>
      <c r="AS11" s="864"/>
      <c r="AT11" s="864"/>
      <c r="AU11" s="864"/>
      <c r="AV11" s="864"/>
      <c r="AW11" s="865"/>
    </row>
    <row r="12" spans="1:53" ht="21" customHeight="1" x14ac:dyDescent="0.15">
      <c r="A12" s="64">
        <v>7</v>
      </c>
      <c r="C12" s="876"/>
      <c r="D12" s="864"/>
      <c r="E12" s="866"/>
      <c r="F12" s="864"/>
      <c r="G12" s="864"/>
      <c r="H12" s="126"/>
      <c r="I12" s="865"/>
      <c r="J12" s="864"/>
      <c r="K12" s="126"/>
      <c r="L12" s="126"/>
      <c r="M12" s="126"/>
      <c r="N12" s="864"/>
      <c r="O12" s="864"/>
      <c r="P12" s="864"/>
      <c r="Q12" s="864"/>
      <c r="R12" s="864"/>
      <c r="S12" s="864"/>
      <c r="T12" s="864"/>
      <c r="U12" s="864"/>
      <c r="V12" s="864"/>
      <c r="W12" s="864"/>
      <c r="X12" s="864"/>
      <c r="Y12" s="864"/>
      <c r="Z12" s="864"/>
      <c r="AA12" s="864"/>
      <c r="AB12" s="864"/>
      <c r="AC12" s="864"/>
      <c r="AD12" s="864"/>
      <c r="AE12" s="864"/>
      <c r="AF12" s="864"/>
      <c r="AG12" s="864"/>
      <c r="AH12" s="863"/>
      <c r="AI12" s="864"/>
      <c r="AJ12" s="864"/>
      <c r="AK12" s="864"/>
      <c r="AL12" s="864"/>
      <c r="AM12" s="865"/>
      <c r="AN12" s="863"/>
      <c r="AO12" s="865"/>
      <c r="AP12" s="864"/>
      <c r="AQ12" s="864"/>
      <c r="AR12" s="864"/>
      <c r="AS12" s="864"/>
      <c r="AT12" s="864"/>
      <c r="AU12" s="864"/>
      <c r="AV12" s="864"/>
      <c r="AW12" s="865"/>
    </row>
    <row r="13" spans="1:53" ht="21" customHeight="1" x14ac:dyDescent="0.15">
      <c r="A13" s="64">
        <v>8</v>
      </c>
      <c r="C13" s="876"/>
      <c r="D13" s="864"/>
      <c r="E13" s="866"/>
      <c r="F13" s="864"/>
      <c r="G13" s="864"/>
      <c r="H13" s="126"/>
      <c r="I13" s="865"/>
      <c r="J13" s="864"/>
      <c r="K13" s="126"/>
      <c r="L13" s="126"/>
      <c r="M13" s="126"/>
      <c r="N13" s="864"/>
      <c r="O13" s="864"/>
      <c r="P13" s="864"/>
      <c r="Q13" s="864"/>
      <c r="R13" s="864"/>
      <c r="S13" s="864"/>
      <c r="T13" s="864"/>
      <c r="U13" s="864"/>
      <c r="V13" s="864"/>
      <c r="W13" s="864"/>
      <c r="X13" s="864"/>
      <c r="Y13" s="864"/>
      <c r="Z13" s="864"/>
      <c r="AA13" s="864"/>
      <c r="AB13" s="864"/>
      <c r="AC13" s="864"/>
      <c r="AD13" s="864"/>
      <c r="AE13" s="864"/>
      <c r="AF13" s="864"/>
      <c r="AG13" s="864"/>
      <c r="AH13" s="863"/>
      <c r="AI13" s="864"/>
      <c r="AJ13" s="864"/>
      <c r="AK13" s="864"/>
      <c r="AL13" s="864"/>
      <c r="AM13" s="865"/>
      <c r="AN13" s="863"/>
      <c r="AO13" s="865"/>
      <c r="AP13" s="864"/>
      <c r="AQ13" s="864"/>
      <c r="AR13" s="864"/>
      <c r="AS13" s="864"/>
      <c r="AT13" s="864"/>
      <c r="AU13" s="864"/>
      <c r="AV13" s="864"/>
      <c r="AW13" s="865"/>
    </row>
    <row r="14" spans="1:53" ht="21" customHeight="1" x14ac:dyDescent="0.15">
      <c r="A14" s="64">
        <v>9</v>
      </c>
      <c r="C14" s="876"/>
      <c r="D14" s="864"/>
      <c r="E14" s="866"/>
      <c r="F14" s="864"/>
      <c r="G14" s="864"/>
      <c r="H14" s="126"/>
      <c r="I14" s="865"/>
      <c r="J14" s="864"/>
      <c r="K14" s="126"/>
      <c r="L14" s="126"/>
      <c r="M14" s="126"/>
      <c r="N14" s="864"/>
      <c r="O14" s="864"/>
      <c r="P14" s="864"/>
      <c r="Q14" s="864"/>
      <c r="R14" s="864"/>
      <c r="S14" s="864"/>
      <c r="T14" s="864"/>
      <c r="U14" s="864"/>
      <c r="V14" s="864"/>
      <c r="W14" s="864"/>
      <c r="X14" s="864"/>
      <c r="Y14" s="864"/>
      <c r="Z14" s="864"/>
      <c r="AA14" s="864"/>
      <c r="AB14" s="864"/>
      <c r="AC14" s="864"/>
      <c r="AD14" s="864"/>
      <c r="AE14" s="864"/>
      <c r="AF14" s="864"/>
      <c r="AG14" s="864"/>
      <c r="AH14" s="863"/>
      <c r="AI14" s="864"/>
      <c r="AJ14" s="864"/>
      <c r="AK14" s="864"/>
      <c r="AL14" s="864"/>
      <c r="AM14" s="865"/>
      <c r="AN14" s="863"/>
      <c r="AO14" s="865"/>
      <c r="AP14" s="864"/>
      <c r="AQ14" s="864"/>
      <c r="AR14" s="864"/>
      <c r="AS14" s="864"/>
      <c r="AT14" s="864"/>
      <c r="AU14" s="864"/>
      <c r="AV14" s="864"/>
      <c r="AW14" s="865"/>
    </row>
    <row r="15" spans="1:53" ht="21" customHeight="1" x14ac:dyDescent="0.15">
      <c r="A15" s="64">
        <v>10</v>
      </c>
      <c r="C15" s="876"/>
      <c r="D15" s="864"/>
      <c r="E15" s="866"/>
      <c r="F15" s="864"/>
      <c r="G15" s="864"/>
      <c r="H15" s="126"/>
      <c r="I15" s="865"/>
      <c r="J15" s="864"/>
      <c r="K15" s="126"/>
      <c r="L15" s="126"/>
      <c r="M15" s="126"/>
      <c r="N15" s="864"/>
      <c r="O15" s="864"/>
      <c r="P15" s="864"/>
      <c r="Q15" s="864"/>
      <c r="R15" s="864"/>
      <c r="S15" s="864"/>
      <c r="T15" s="864"/>
      <c r="U15" s="864"/>
      <c r="V15" s="864"/>
      <c r="W15" s="864"/>
      <c r="X15" s="864"/>
      <c r="Y15" s="864"/>
      <c r="Z15" s="864"/>
      <c r="AA15" s="864"/>
      <c r="AB15" s="864"/>
      <c r="AC15" s="864"/>
      <c r="AD15" s="864"/>
      <c r="AE15" s="864"/>
      <c r="AF15" s="864"/>
      <c r="AG15" s="864"/>
      <c r="AH15" s="863"/>
      <c r="AI15" s="864"/>
      <c r="AJ15" s="864"/>
      <c r="AK15" s="864"/>
      <c r="AL15" s="864"/>
      <c r="AM15" s="865"/>
      <c r="AN15" s="863"/>
      <c r="AO15" s="865"/>
      <c r="AP15" s="864"/>
      <c r="AQ15" s="864"/>
      <c r="AR15" s="864"/>
      <c r="AS15" s="864"/>
      <c r="AT15" s="864"/>
      <c r="AU15" s="864"/>
      <c r="AV15" s="864"/>
      <c r="AW15" s="865"/>
    </row>
    <row r="16" spans="1:53" ht="21" customHeight="1" x14ac:dyDescent="0.15">
      <c r="A16" s="64">
        <v>11</v>
      </c>
      <c r="C16" s="876"/>
      <c r="D16" s="864"/>
      <c r="E16" s="866"/>
      <c r="F16" s="864"/>
      <c r="G16" s="864"/>
      <c r="H16" s="126"/>
      <c r="I16" s="865"/>
      <c r="J16" s="864"/>
      <c r="K16" s="126"/>
      <c r="L16" s="126"/>
      <c r="M16" s="126"/>
      <c r="N16" s="864"/>
      <c r="O16" s="864"/>
      <c r="P16" s="864"/>
      <c r="Q16" s="864"/>
      <c r="R16" s="864"/>
      <c r="S16" s="864"/>
      <c r="T16" s="864"/>
      <c r="U16" s="864"/>
      <c r="V16" s="864"/>
      <c r="W16" s="864"/>
      <c r="X16" s="864"/>
      <c r="Y16" s="864"/>
      <c r="Z16" s="864"/>
      <c r="AA16" s="864"/>
      <c r="AB16" s="864"/>
      <c r="AC16" s="864"/>
      <c r="AD16" s="864"/>
      <c r="AE16" s="864"/>
      <c r="AF16" s="864"/>
      <c r="AG16" s="864"/>
      <c r="AH16" s="863"/>
      <c r="AI16" s="864"/>
      <c r="AJ16" s="864"/>
      <c r="AK16" s="864"/>
      <c r="AL16" s="864"/>
      <c r="AM16" s="865"/>
      <c r="AN16" s="863"/>
      <c r="AO16" s="865"/>
      <c r="AP16" s="864"/>
      <c r="AQ16" s="864"/>
      <c r="AR16" s="864"/>
      <c r="AS16" s="864"/>
      <c r="AT16" s="864"/>
      <c r="AU16" s="864"/>
      <c r="AV16" s="864"/>
      <c r="AW16" s="865"/>
    </row>
    <row r="17" spans="1:49" ht="21" customHeight="1" x14ac:dyDescent="0.15">
      <c r="A17" s="64">
        <v>12</v>
      </c>
      <c r="C17" s="876"/>
      <c r="D17" s="864"/>
      <c r="E17" s="866"/>
      <c r="F17" s="864"/>
      <c r="G17" s="864"/>
      <c r="H17" s="126"/>
      <c r="I17" s="865"/>
      <c r="J17" s="864"/>
      <c r="K17" s="126"/>
      <c r="L17" s="126"/>
      <c r="M17" s="126"/>
      <c r="N17" s="864"/>
      <c r="O17" s="864"/>
      <c r="P17" s="864"/>
      <c r="Q17" s="864"/>
      <c r="R17" s="864"/>
      <c r="S17" s="864"/>
      <c r="T17" s="864"/>
      <c r="U17" s="864"/>
      <c r="V17" s="864"/>
      <c r="W17" s="864"/>
      <c r="X17" s="864"/>
      <c r="Y17" s="864"/>
      <c r="Z17" s="864"/>
      <c r="AA17" s="864"/>
      <c r="AB17" s="864"/>
      <c r="AC17" s="864"/>
      <c r="AD17" s="864"/>
      <c r="AE17" s="864"/>
      <c r="AF17" s="864"/>
      <c r="AG17" s="864"/>
      <c r="AH17" s="863"/>
      <c r="AI17" s="864"/>
      <c r="AJ17" s="864"/>
      <c r="AK17" s="864"/>
      <c r="AL17" s="864"/>
      <c r="AM17" s="865"/>
      <c r="AN17" s="863"/>
      <c r="AO17" s="865"/>
      <c r="AP17" s="864"/>
      <c r="AQ17" s="864"/>
      <c r="AR17" s="864"/>
      <c r="AS17" s="864"/>
      <c r="AT17" s="864"/>
      <c r="AU17" s="864"/>
      <c r="AV17" s="864"/>
      <c r="AW17" s="865"/>
    </row>
    <row r="18" spans="1:49" ht="21" customHeight="1" x14ac:dyDescent="0.15">
      <c r="A18" s="64">
        <v>13</v>
      </c>
      <c r="C18" s="876"/>
      <c r="D18" s="864"/>
      <c r="E18" s="866"/>
      <c r="F18" s="864"/>
      <c r="G18" s="864"/>
      <c r="H18" s="126"/>
      <c r="I18" s="865"/>
      <c r="J18" s="864"/>
      <c r="K18" s="126"/>
      <c r="L18" s="126"/>
      <c r="M18" s="126"/>
      <c r="N18" s="864"/>
      <c r="O18" s="864"/>
      <c r="P18" s="864"/>
      <c r="Q18" s="864"/>
      <c r="R18" s="864"/>
      <c r="S18" s="864"/>
      <c r="T18" s="864"/>
      <c r="U18" s="864"/>
      <c r="V18" s="864"/>
      <c r="W18" s="864"/>
      <c r="X18" s="864"/>
      <c r="Y18" s="864"/>
      <c r="Z18" s="864"/>
      <c r="AA18" s="864"/>
      <c r="AB18" s="864"/>
      <c r="AC18" s="864"/>
      <c r="AD18" s="864"/>
      <c r="AE18" s="864"/>
      <c r="AF18" s="864"/>
      <c r="AG18" s="864"/>
      <c r="AH18" s="863"/>
      <c r="AI18" s="864"/>
      <c r="AJ18" s="864"/>
      <c r="AK18" s="864"/>
      <c r="AL18" s="864"/>
      <c r="AM18" s="865"/>
      <c r="AN18" s="863"/>
      <c r="AO18" s="865"/>
      <c r="AP18" s="864"/>
      <c r="AQ18" s="864"/>
      <c r="AR18" s="864"/>
      <c r="AS18" s="864"/>
      <c r="AT18" s="864"/>
      <c r="AU18" s="864"/>
      <c r="AV18" s="864"/>
      <c r="AW18" s="865"/>
    </row>
    <row r="19" spans="1:49" ht="21" customHeight="1" x14ac:dyDescent="0.15">
      <c r="A19" s="64">
        <v>14</v>
      </c>
      <c r="C19" s="876"/>
      <c r="D19" s="864"/>
      <c r="E19" s="866"/>
      <c r="F19" s="864"/>
      <c r="G19" s="864"/>
      <c r="H19" s="126"/>
      <c r="I19" s="865"/>
      <c r="J19" s="864"/>
      <c r="K19" s="126"/>
      <c r="L19" s="126"/>
      <c r="M19" s="126"/>
      <c r="N19" s="864"/>
      <c r="O19" s="864"/>
      <c r="P19" s="864"/>
      <c r="Q19" s="864"/>
      <c r="R19" s="864"/>
      <c r="S19" s="864"/>
      <c r="T19" s="864"/>
      <c r="U19" s="864"/>
      <c r="V19" s="864"/>
      <c r="W19" s="864"/>
      <c r="X19" s="864"/>
      <c r="Y19" s="864"/>
      <c r="Z19" s="864"/>
      <c r="AA19" s="864"/>
      <c r="AB19" s="864"/>
      <c r="AC19" s="864"/>
      <c r="AD19" s="864"/>
      <c r="AE19" s="864"/>
      <c r="AF19" s="864"/>
      <c r="AG19" s="864"/>
      <c r="AH19" s="863"/>
      <c r="AI19" s="864"/>
      <c r="AJ19" s="864"/>
      <c r="AK19" s="864"/>
      <c r="AL19" s="864"/>
      <c r="AM19" s="865"/>
      <c r="AN19" s="863"/>
      <c r="AO19" s="865"/>
      <c r="AP19" s="864"/>
      <c r="AQ19" s="864"/>
      <c r="AR19" s="864"/>
      <c r="AS19" s="864"/>
      <c r="AT19" s="864"/>
      <c r="AU19" s="864"/>
      <c r="AV19" s="864"/>
      <c r="AW19" s="865"/>
    </row>
    <row r="20" spans="1:49" ht="21" customHeight="1" x14ac:dyDescent="0.15">
      <c r="A20" s="64">
        <v>15</v>
      </c>
      <c r="C20" s="876"/>
      <c r="D20" s="864"/>
      <c r="E20" s="866"/>
      <c r="F20" s="864"/>
      <c r="G20" s="864"/>
      <c r="H20" s="126"/>
      <c r="I20" s="865"/>
      <c r="J20" s="864"/>
      <c r="K20" s="126"/>
      <c r="L20" s="126"/>
      <c r="M20" s="126"/>
      <c r="N20" s="864"/>
      <c r="O20" s="864"/>
      <c r="P20" s="864"/>
      <c r="Q20" s="864"/>
      <c r="R20" s="864"/>
      <c r="S20" s="864"/>
      <c r="T20" s="864"/>
      <c r="U20" s="864"/>
      <c r="V20" s="864"/>
      <c r="W20" s="864"/>
      <c r="X20" s="864"/>
      <c r="Y20" s="864"/>
      <c r="Z20" s="864"/>
      <c r="AA20" s="864"/>
      <c r="AB20" s="864"/>
      <c r="AC20" s="864"/>
      <c r="AD20" s="864"/>
      <c r="AE20" s="864"/>
      <c r="AF20" s="864"/>
      <c r="AG20" s="864"/>
      <c r="AH20" s="863"/>
      <c r="AI20" s="864"/>
      <c r="AJ20" s="864"/>
      <c r="AK20" s="864"/>
      <c r="AL20" s="864"/>
      <c r="AM20" s="865"/>
      <c r="AN20" s="863"/>
      <c r="AO20" s="865"/>
      <c r="AP20" s="864"/>
      <c r="AQ20" s="864"/>
      <c r="AR20" s="864"/>
      <c r="AS20" s="864"/>
      <c r="AT20" s="864"/>
      <c r="AU20" s="864"/>
      <c r="AV20" s="864"/>
      <c r="AW20" s="865"/>
    </row>
    <row r="21" spans="1:49" ht="21" customHeight="1" x14ac:dyDescent="0.15">
      <c r="A21" s="64">
        <v>16</v>
      </c>
      <c r="C21" s="876"/>
      <c r="D21" s="864"/>
      <c r="E21" s="866"/>
      <c r="F21" s="864"/>
      <c r="G21" s="864"/>
      <c r="H21" s="126"/>
      <c r="I21" s="865"/>
      <c r="J21" s="864"/>
      <c r="K21" s="126"/>
      <c r="L21" s="126"/>
      <c r="M21" s="126"/>
      <c r="N21" s="864"/>
      <c r="O21" s="864"/>
      <c r="P21" s="864"/>
      <c r="Q21" s="864"/>
      <c r="R21" s="864"/>
      <c r="S21" s="864"/>
      <c r="T21" s="864"/>
      <c r="U21" s="864"/>
      <c r="V21" s="864"/>
      <c r="W21" s="864"/>
      <c r="X21" s="864"/>
      <c r="Y21" s="864"/>
      <c r="Z21" s="864"/>
      <c r="AA21" s="864"/>
      <c r="AB21" s="864"/>
      <c r="AC21" s="864"/>
      <c r="AD21" s="864"/>
      <c r="AE21" s="864"/>
      <c r="AF21" s="864"/>
      <c r="AG21" s="864"/>
      <c r="AH21" s="863"/>
      <c r="AI21" s="864"/>
      <c r="AJ21" s="864"/>
      <c r="AK21" s="864"/>
      <c r="AL21" s="864"/>
      <c r="AM21" s="865"/>
      <c r="AN21" s="863"/>
      <c r="AO21" s="865"/>
      <c r="AP21" s="864"/>
      <c r="AQ21" s="864"/>
      <c r="AR21" s="864"/>
      <c r="AS21" s="864"/>
      <c r="AT21" s="864"/>
      <c r="AU21" s="864"/>
      <c r="AV21" s="864"/>
      <c r="AW21" s="865"/>
    </row>
    <row r="22" spans="1:49" ht="21" customHeight="1" x14ac:dyDescent="0.15">
      <c r="A22" s="64">
        <v>17</v>
      </c>
      <c r="C22" s="876"/>
      <c r="D22" s="864"/>
      <c r="E22" s="866"/>
      <c r="F22" s="864"/>
      <c r="G22" s="864"/>
      <c r="H22" s="126"/>
      <c r="I22" s="865"/>
      <c r="J22" s="864"/>
      <c r="K22" s="126"/>
      <c r="L22" s="126"/>
      <c r="M22" s="126"/>
      <c r="N22" s="864"/>
      <c r="O22" s="864"/>
      <c r="P22" s="864"/>
      <c r="Q22" s="864"/>
      <c r="R22" s="864"/>
      <c r="S22" s="864"/>
      <c r="T22" s="864"/>
      <c r="U22" s="864"/>
      <c r="V22" s="864"/>
      <c r="W22" s="864"/>
      <c r="X22" s="864"/>
      <c r="Y22" s="864"/>
      <c r="Z22" s="864"/>
      <c r="AA22" s="864"/>
      <c r="AB22" s="864"/>
      <c r="AC22" s="864"/>
      <c r="AD22" s="864"/>
      <c r="AE22" s="864"/>
      <c r="AF22" s="864"/>
      <c r="AG22" s="864"/>
      <c r="AH22" s="863"/>
      <c r="AI22" s="864"/>
      <c r="AJ22" s="864"/>
      <c r="AK22" s="864"/>
      <c r="AL22" s="864"/>
      <c r="AM22" s="865"/>
      <c r="AN22" s="863"/>
      <c r="AO22" s="865"/>
      <c r="AP22" s="864"/>
      <c r="AQ22" s="864"/>
      <c r="AR22" s="864"/>
      <c r="AS22" s="864"/>
      <c r="AT22" s="864"/>
      <c r="AU22" s="864"/>
      <c r="AV22" s="864"/>
      <c r="AW22" s="865"/>
    </row>
    <row r="23" spans="1:49" ht="21" customHeight="1" x14ac:dyDescent="0.15">
      <c r="A23" s="64">
        <v>18</v>
      </c>
      <c r="C23" s="876"/>
      <c r="D23" s="864"/>
      <c r="E23" s="866"/>
      <c r="F23" s="864"/>
      <c r="G23" s="864"/>
      <c r="H23" s="126"/>
      <c r="I23" s="865"/>
      <c r="J23" s="864"/>
      <c r="K23" s="126"/>
      <c r="L23" s="126"/>
      <c r="M23" s="126"/>
      <c r="N23" s="864"/>
      <c r="O23" s="864"/>
      <c r="P23" s="864"/>
      <c r="Q23" s="864"/>
      <c r="R23" s="864"/>
      <c r="S23" s="864"/>
      <c r="T23" s="864"/>
      <c r="U23" s="864"/>
      <c r="V23" s="864"/>
      <c r="W23" s="864"/>
      <c r="X23" s="864"/>
      <c r="Y23" s="864"/>
      <c r="Z23" s="864"/>
      <c r="AA23" s="864"/>
      <c r="AB23" s="864"/>
      <c r="AC23" s="864"/>
      <c r="AD23" s="864"/>
      <c r="AE23" s="864"/>
      <c r="AF23" s="864"/>
      <c r="AG23" s="864"/>
      <c r="AH23" s="863"/>
      <c r="AI23" s="864"/>
      <c r="AJ23" s="864"/>
      <c r="AK23" s="864"/>
      <c r="AL23" s="864"/>
      <c r="AM23" s="865"/>
      <c r="AN23" s="863"/>
      <c r="AO23" s="865"/>
      <c r="AP23" s="864"/>
      <c r="AQ23" s="864"/>
      <c r="AR23" s="864"/>
      <c r="AS23" s="864"/>
      <c r="AT23" s="864"/>
      <c r="AU23" s="864"/>
      <c r="AV23" s="864"/>
      <c r="AW23" s="865"/>
    </row>
    <row r="24" spans="1:49" ht="21" customHeight="1" x14ac:dyDescent="0.15">
      <c r="A24" s="64">
        <v>19</v>
      </c>
      <c r="C24" s="876"/>
      <c r="D24" s="864"/>
      <c r="E24" s="866"/>
      <c r="F24" s="864"/>
      <c r="G24" s="864"/>
      <c r="H24" s="126"/>
      <c r="I24" s="865"/>
      <c r="J24" s="864"/>
      <c r="K24" s="126"/>
      <c r="L24" s="126"/>
      <c r="M24" s="126"/>
      <c r="N24" s="864"/>
      <c r="O24" s="864"/>
      <c r="P24" s="864"/>
      <c r="Q24" s="864"/>
      <c r="R24" s="864"/>
      <c r="S24" s="864"/>
      <c r="T24" s="864"/>
      <c r="U24" s="864"/>
      <c r="V24" s="864"/>
      <c r="W24" s="864"/>
      <c r="X24" s="864"/>
      <c r="Y24" s="864"/>
      <c r="Z24" s="864"/>
      <c r="AA24" s="864"/>
      <c r="AB24" s="864"/>
      <c r="AC24" s="864"/>
      <c r="AD24" s="864"/>
      <c r="AE24" s="864"/>
      <c r="AF24" s="864"/>
      <c r="AG24" s="864"/>
      <c r="AH24" s="863"/>
      <c r="AI24" s="864"/>
      <c r="AJ24" s="864"/>
      <c r="AK24" s="864"/>
      <c r="AL24" s="864"/>
      <c r="AM24" s="865"/>
      <c r="AN24" s="863"/>
      <c r="AO24" s="865"/>
      <c r="AP24" s="864"/>
      <c r="AQ24" s="864"/>
      <c r="AR24" s="864"/>
      <c r="AS24" s="864"/>
      <c r="AT24" s="864"/>
      <c r="AU24" s="864"/>
      <c r="AV24" s="864"/>
      <c r="AW24" s="865"/>
    </row>
    <row r="25" spans="1:49" ht="21" customHeight="1" x14ac:dyDescent="0.15">
      <c r="A25" s="64">
        <v>20</v>
      </c>
      <c r="C25" s="876"/>
      <c r="D25" s="864"/>
      <c r="E25" s="866"/>
      <c r="F25" s="864"/>
      <c r="G25" s="864"/>
      <c r="H25" s="126"/>
      <c r="I25" s="865"/>
      <c r="J25" s="864"/>
      <c r="K25" s="126"/>
      <c r="L25" s="126"/>
      <c r="M25" s="126"/>
      <c r="N25" s="864"/>
      <c r="O25" s="864"/>
      <c r="P25" s="864"/>
      <c r="Q25" s="864"/>
      <c r="R25" s="864"/>
      <c r="S25" s="864"/>
      <c r="T25" s="864"/>
      <c r="U25" s="864"/>
      <c r="V25" s="864"/>
      <c r="W25" s="864"/>
      <c r="X25" s="864"/>
      <c r="Y25" s="864"/>
      <c r="Z25" s="864"/>
      <c r="AA25" s="864"/>
      <c r="AB25" s="864"/>
      <c r="AC25" s="864"/>
      <c r="AD25" s="864"/>
      <c r="AE25" s="864"/>
      <c r="AF25" s="864"/>
      <c r="AG25" s="864"/>
      <c r="AH25" s="863"/>
      <c r="AI25" s="864"/>
      <c r="AJ25" s="864"/>
      <c r="AK25" s="864"/>
      <c r="AL25" s="864"/>
      <c r="AM25" s="865"/>
      <c r="AN25" s="863"/>
      <c r="AO25" s="865"/>
      <c r="AP25" s="864"/>
      <c r="AQ25" s="864"/>
      <c r="AR25" s="864"/>
      <c r="AS25" s="864"/>
      <c r="AT25" s="864"/>
      <c r="AU25" s="864"/>
      <c r="AV25" s="864"/>
      <c r="AW25" s="865"/>
    </row>
    <row r="26" spans="1:49" ht="21" customHeight="1" x14ac:dyDescent="0.15">
      <c r="A26" s="64">
        <v>21</v>
      </c>
      <c r="C26" s="876"/>
      <c r="D26" s="864"/>
      <c r="E26" s="866"/>
      <c r="F26" s="864"/>
      <c r="G26" s="864"/>
      <c r="H26" s="126"/>
      <c r="I26" s="865"/>
      <c r="J26" s="864"/>
      <c r="K26" s="126"/>
      <c r="L26" s="126"/>
      <c r="M26" s="126"/>
      <c r="N26" s="864"/>
      <c r="O26" s="864"/>
      <c r="P26" s="864"/>
      <c r="Q26" s="864"/>
      <c r="R26" s="864"/>
      <c r="S26" s="864"/>
      <c r="T26" s="864"/>
      <c r="U26" s="864"/>
      <c r="V26" s="864"/>
      <c r="W26" s="864"/>
      <c r="X26" s="864"/>
      <c r="Y26" s="864"/>
      <c r="Z26" s="864"/>
      <c r="AA26" s="864"/>
      <c r="AB26" s="864"/>
      <c r="AC26" s="864"/>
      <c r="AD26" s="864"/>
      <c r="AE26" s="864"/>
      <c r="AF26" s="864"/>
      <c r="AG26" s="864"/>
      <c r="AH26" s="863"/>
      <c r="AI26" s="864"/>
      <c r="AJ26" s="864"/>
      <c r="AK26" s="864"/>
      <c r="AL26" s="864"/>
      <c r="AM26" s="865"/>
      <c r="AN26" s="863"/>
      <c r="AO26" s="865"/>
      <c r="AP26" s="864"/>
      <c r="AQ26" s="864"/>
      <c r="AR26" s="864"/>
      <c r="AS26" s="864"/>
      <c r="AT26" s="864"/>
      <c r="AU26" s="864"/>
      <c r="AV26" s="864"/>
      <c r="AW26" s="865"/>
    </row>
    <row r="27" spans="1:49" ht="21" customHeight="1" x14ac:dyDescent="0.15">
      <c r="A27" s="64">
        <v>22</v>
      </c>
      <c r="C27" s="876"/>
      <c r="D27" s="864"/>
      <c r="E27" s="866"/>
      <c r="F27" s="864"/>
      <c r="G27" s="864"/>
      <c r="H27" s="126"/>
      <c r="I27" s="865"/>
      <c r="J27" s="864"/>
      <c r="K27" s="126"/>
      <c r="L27" s="126"/>
      <c r="M27" s="126"/>
      <c r="N27" s="864"/>
      <c r="O27" s="864"/>
      <c r="P27" s="864"/>
      <c r="Q27" s="864"/>
      <c r="R27" s="864"/>
      <c r="S27" s="864"/>
      <c r="T27" s="864"/>
      <c r="U27" s="864"/>
      <c r="V27" s="864"/>
      <c r="W27" s="864"/>
      <c r="X27" s="864"/>
      <c r="Y27" s="864"/>
      <c r="Z27" s="864"/>
      <c r="AA27" s="864"/>
      <c r="AB27" s="864"/>
      <c r="AC27" s="864"/>
      <c r="AD27" s="864"/>
      <c r="AE27" s="864"/>
      <c r="AF27" s="864"/>
      <c r="AG27" s="864"/>
      <c r="AH27" s="863"/>
      <c r="AI27" s="864"/>
      <c r="AJ27" s="864"/>
      <c r="AK27" s="864"/>
      <c r="AL27" s="864"/>
      <c r="AM27" s="865"/>
      <c r="AN27" s="863"/>
      <c r="AO27" s="865"/>
      <c r="AP27" s="864"/>
      <c r="AQ27" s="864"/>
      <c r="AR27" s="864"/>
      <c r="AS27" s="864"/>
      <c r="AT27" s="864"/>
      <c r="AU27" s="864"/>
      <c r="AV27" s="864"/>
      <c r="AW27" s="865"/>
    </row>
    <row r="28" spans="1:49" ht="21" customHeight="1" x14ac:dyDescent="0.15">
      <c r="A28" s="64">
        <v>23</v>
      </c>
      <c r="C28" s="876"/>
      <c r="D28" s="864"/>
      <c r="E28" s="866"/>
      <c r="F28" s="864"/>
      <c r="G28" s="864"/>
      <c r="H28" s="126"/>
      <c r="I28" s="865"/>
      <c r="J28" s="864"/>
      <c r="K28" s="126"/>
      <c r="L28" s="126"/>
      <c r="M28" s="126"/>
      <c r="N28" s="864"/>
      <c r="O28" s="864"/>
      <c r="P28" s="864"/>
      <c r="Q28" s="864"/>
      <c r="R28" s="864"/>
      <c r="S28" s="864"/>
      <c r="T28" s="864"/>
      <c r="U28" s="864"/>
      <c r="V28" s="864"/>
      <c r="W28" s="864"/>
      <c r="X28" s="864"/>
      <c r="Y28" s="864"/>
      <c r="Z28" s="864"/>
      <c r="AA28" s="864"/>
      <c r="AB28" s="864"/>
      <c r="AC28" s="864"/>
      <c r="AD28" s="864"/>
      <c r="AE28" s="864"/>
      <c r="AF28" s="864"/>
      <c r="AG28" s="864"/>
      <c r="AH28" s="863"/>
      <c r="AI28" s="864"/>
      <c r="AJ28" s="864"/>
      <c r="AK28" s="864"/>
      <c r="AL28" s="864"/>
      <c r="AM28" s="865"/>
      <c r="AN28" s="863"/>
      <c r="AO28" s="865"/>
      <c r="AP28" s="864"/>
      <c r="AQ28" s="864"/>
      <c r="AR28" s="864"/>
      <c r="AS28" s="864"/>
      <c r="AT28" s="864"/>
      <c r="AU28" s="864"/>
      <c r="AV28" s="864"/>
      <c r="AW28" s="865"/>
    </row>
    <row r="29" spans="1:49" ht="21" customHeight="1" x14ac:dyDescent="0.15">
      <c r="A29" s="64">
        <v>24</v>
      </c>
      <c r="C29" s="876"/>
      <c r="D29" s="864"/>
      <c r="E29" s="866"/>
      <c r="F29" s="864"/>
      <c r="G29" s="864"/>
      <c r="H29" s="126"/>
      <c r="I29" s="865"/>
      <c r="J29" s="864"/>
      <c r="K29" s="126"/>
      <c r="L29" s="126"/>
      <c r="M29" s="126"/>
      <c r="N29" s="864"/>
      <c r="O29" s="864"/>
      <c r="P29" s="864"/>
      <c r="Q29" s="864"/>
      <c r="R29" s="864"/>
      <c r="S29" s="864"/>
      <c r="T29" s="864"/>
      <c r="U29" s="864"/>
      <c r="V29" s="864"/>
      <c r="W29" s="864"/>
      <c r="X29" s="864"/>
      <c r="Y29" s="864"/>
      <c r="Z29" s="864"/>
      <c r="AA29" s="864"/>
      <c r="AB29" s="864"/>
      <c r="AC29" s="864"/>
      <c r="AD29" s="864"/>
      <c r="AE29" s="864"/>
      <c r="AF29" s="864"/>
      <c r="AG29" s="864"/>
      <c r="AH29" s="863"/>
      <c r="AI29" s="864"/>
      <c r="AJ29" s="864"/>
      <c r="AK29" s="864"/>
      <c r="AL29" s="864"/>
      <c r="AM29" s="865"/>
      <c r="AN29" s="863"/>
      <c r="AO29" s="865"/>
      <c r="AP29" s="864"/>
      <c r="AQ29" s="864"/>
      <c r="AR29" s="864"/>
      <c r="AS29" s="864"/>
      <c r="AT29" s="864"/>
      <c r="AU29" s="864"/>
      <c r="AV29" s="864"/>
      <c r="AW29" s="865"/>
    </row>
    <row r="30" spans="1:49" ht="21" customHeight="1" x14ac:dyDescent="0.15">
      <c r="A30" s="64">
        <v>25</v>
      </c>
      <c r="C30" s="876"/>
      <c r="D30" s="864"/>
      <c r="E30" s="866"/>
      <c r="F30" s="864"/>
      <c r="G30" s="864"/>
      <c r="H30" s="126"/>
      <c r="I30" s="865"/>
      <c r="J30" s="864"/>
      <c r="K30" s="126"/>
      <c r="L30" s="126"/>
      <c r="M30" s="126"/>
      <c r="N30" s="864"/>
      <c r="O30" s="864"/>
      <c r="P30" s="864"/>
      <c r="Q30" s="864"/>
      <c r="R30" s="864"/>
      <c r="S30" s="864"/>
      <c r="T30" s="864"/>
      <c r="U30" s="864"/>
      <c r="V30" s="864"/>
      <c r="W30" s="864"/>
      <c r="X30" s="864"/>
      <c r="Y30" s="864"/>
      <c r="Z30" s="864"/>
      <c r="AA30" s="864"/>
      <c r="AB30" s="864"/>
      <c r="AC30" s="864"/>
      <c r="AD30" s="864"/>
      <c r="AE30" s="864"/>
      <c r="AF30" s="864"/>
      <c r="AG30" s="864"/>
      <c r="AH30" s="863"/>
      <c r="AI30" s="864"/>
      <c r="AJ30" s="864"/>
      <c r="AK30" s="864"/>
      <c r="AL30" s="864"/>
      <c r="AM30" s="865"/>
      <c r="AN30" s="863"/>
      <c r="AO30" s="865"/>
      <c r="AP30" s="864"/>
      <c r="AQ30" s="864"/>
      <c r="AR30" s="864"/>
      <c r="AS30" s="864"/>
      <c r="AT30" s="864"/>
      <c r="AU30" s="864"/>
      <c r="AV30" s="864"/>
      <c r="AW30" s="865"/>
    </row>
    <row r="31" spans="1:49" ht="21" customHeight="1" x14ac:dyDescent="0.15">
      <c r="A31" s="64">
        <v>26</v>
      </c>
      <c r="C31" s="876"/>
      <c r="D31" s="864"/>
      <c r="E31" s="866"/>
      <c r="F31" s="864"/>
      <c r="G31" s="864"/>
      <c r="H31" s="126"/>
      <c r="I31" s="865"/>
      <c r="J31" s="864"/>
      <c r="K31" s="126"/>
      <c r="L31" s="126"/>
      <c r="M31" s="126"/>
      <c r="N31" s="864"/>
      <c r="O31" s="864"/>
      <c r="P31" s="864"/>
      <c r="Q31" s="864"/>
      <c r="R31" s="864"/>
      <c r="S31" s="864"/>
      <c r="T31" s="864"/>
      <c r="U31" s="864"/>
      <c r="V31" s="864"/>
      <c r="W31" s="864"/>
      <c r="X31" s="864"/>
      <c r="Y31" s="864"/>
      <c r="Z31" s="864"/>
      <c r="AA31" s="864"/>
      <c r="AB31" s="864"/>
      <c r="AC31" s="864"/>
      <c r="AD31" s="864"/>
      <c r="AE31" s="864"/>
      <c r="AF31" s="864"/>
      <c r="AG31" s="864"/>
      <c r="AH31" s="863"/>
      <c r="AI31" s="864"/>
      <c r="AJ31" s="864"/>
      <c r="AK31" s="864"/>
      <c r="AL31" s="864"/>
      <c r="AM31" s="865"/>
      <c r="AN31" s="863"/>
      <c r="AO31" s="865"/>
      <c r="AP31" s="864"/>
      <c r="AQ31" s="864"/>
      <c r="AR31" s="864"/>
      <c r="AS31" s="864"/>
      <c r="AT31" s="864"/>
      <c r="AU31" s="864"/>
      <c r="AV31" s="864"/>
      <c r="AW31" s="865"/>
    </row>
    <row r="32" spans="1:49" ht="21" customHeight="1" x14ac:dyDescent="0.15">
      <c r="A32" s="64">
        <v>27</v>
      </c>
      <c r="C32" s="876"/>
      <c r="D32" s="864"/>
      <c r="E32" s="866"/>
      <c r="F32" s="864"/>
      <c r="G32" s="864"/>
      <c r="H32" s="126"/>
      <c r="I32" s="865"/>
      <c r="J32" s="864"/>
      <c r="K32" s="126"/>
      <c r="L32" s="126"/>
      <c r="M32" s="126"/>
      <c r="N32" s="864"/>
      <c r="O32" s="864"/>
      <c r="P32" s="864"/>
      <c r="Q32" s="864"/>
      <c r="R32" s="864"/>
      <c r="S32" s="864"/>
      <c r="T32" s="864"/>
      <c r="U32" s="864"/>
      <c r="V32" s="864"/>
      <c r="W32" s="864"/>
      <c r="X32" s="864"/>
      <c r="Y32" s="864"/>
      <c r="Z32" s="864"/>
      <c r="AA32" s="864"/>
      <c r="AB32" s="864"/>
      <c r="AC32" s="864"/>
      <c r="AD32" s="864"/>
      <c r="AE32" s="864"/>
      <c r="AF32" s="864"/>
      <c r="AG32" s="864"/>
      <c r="AH32" s="863"/>
      <c r="AI32" s="864"/>
      <c r="AJ32" s="864"/>
      <c r="AK32" s="864"/>
      <c r="AL32" s="864"/>
      <c r="AM32" s="865"/>
      <c r="AN32" s="863"/>
      <c r="AO32" s="865"/>
      <c r="AP32" s="864"/>
      <c r="AQ32" s="864"/>
      <c r="AR32" s="864"/>
      <c r="AS32" s="864"/>
      <c r="AT32" s="864"/>
      <c r="AU32" s="864"/>
      <c r="AV32" s="864"/>
      <c r="AW32" s="865"/>
    </row>
    <row r="33" spans="1:49" ht="21" customHeight="1" x14ac:dyDescent="0.15">
      <c r="A33" s="64">
        <v>28</v>
      </c>
      <c r="C33" s="876"/>
      <c r="D33" s="864"/>
      <c r="E33" s="866"/>
      <c r="F33" s="864"/>
      <c r="G33" s="864"/>
      <c r="H33" s="126"/>
      <c r="I33" s="865"/>
      <c r="J33" s="864"/>
      <c r="K33" s="126"/>
      <c r="L33" s="126"/>
      <c r="M33" s="126"/>
      <c r="N33" s="864"/>
      <c r="O33" s="864"/>
      <c r="P33" s="864"/>
      <c r="Q33" s="864"/>
      <c r="R33" s="864"/>
      <c r="S33" s="864"/>
      <c r="T33" s="864"/>
      <c r="U33" s="864"/>
      <c r="V33" s="864"/>
      <c r="W33" s="864"/>
      <c r="X33" s="864"/>
      <c r="Y33" s="864"/>
      <c r="Z33" s="864"/>
      <c r="AA33" s="864"/>
      <c r="AB33" s="864"/>
      <c r="AC33" s="864"/>
      <c r="AD33" s="864"/>
      <c r="AE33" s="864"/>
      <c r="AF33" s="864"/>
      <c r="AG33" s="864"/>
      <c r="AH33" s="863"/>
      <c r="AI33" s="864"/>
      <c r="AJ33" s="864"/>
      <c r="AK33" s="864"/>
      <c r="AL33" s="864"/>
      <c r="AM33" s="865"/>
      <c r="AN33" s="863"/>
      <c r="AO33" s="865"/>
      <c r="AP33" s="864"/>
      <c r="AQ33" s="864"/>
      <c r="AR33" s="864"/>
      <c r="AS33" s="864"/>
      <c r="AT33" s="864"/>
      <c r="AU33" s="864"/>
      <c r="AV33" s="864"/>
      <c r="AW33" s="865"/>
    </row>
    <row r="34" spans="1:49" ht="21" customHeight="1" x14ac:dyDescent="0.15">
      <c r="A34" s="64">
        <v>29</v>
      </c>
      <c r="C34" s="876"/>
      <c r="D34" s="864"/>
      <c r="E34" s="866"/>
      <c r="F34" s="864"/>
      <c r="G34" s="864"/>
      <c r="H34" s="126"/>
      <c r="I34" s="865"/>
      <c r="J34" s="864"/>
      <c r="K34" s="126"/>
      <c r="L34" s="126"/>
      <c r="M34" s="126"/>
      <c r="N34" s="864"/>
      <c r="O34" s="864"/>
      <c r="P34" s="864"/>
      <c r="Q34" s="864"/>
      <c r="R34" s="864"/>
      <c r="S34" s="864"/>
      <c r="T34" s="864"/>
      <c r="U34" s="864"/>
      <c r="V34" s="864"/>
      <c r="W34" s="864"/>
      <c r="X34" s="864"/>
      <c r="Y34" s="864"/>
      <c r="Z34" s="864"/>
      <c r="AA34" s="864"/>
      <c r="AB34" s="864"/>
      <c r="AC34" s="864"/>
      <c r="AD34" s="864"/>
      <c r="AE34" s="864"/>
      <c r="AF34" s="864"/>
      <c r="AG34" s="864"/>
      <c r="AH34" s="863"/>
      <c r="AI34" s="864"/>
      <c r="AJ34" s="864"/>
      <c r="AK34" s="864"/>
      <c r="AL34" s="864"/>
      <c r="AM34" s="865"/>
      <c r="AN34" s="863"/>
      <c r="AO34" s="865"/>
      <c r="AP34" s="864"/>
      <c r="AQ34" s="864"/>
      <c r="AR34" s="864"/>
      <c r="AS34" s="864"/>
      <c r="AT34" s="864"/>
      <c r="AU34" s="864"/>
      <c r="AV34" s="864"/>
      <c r="AW34" s="865"/>
    </row>
    <row r="35" spans="1:49" ht="21" customHeight="1" x14ac:dyDescent="0.15">
      <c r="A35" s="64">
        <v>30</v>
      </c>
      <c r="C35" s="876"/>
      <c r="D35" s="864"/>
      <c r="E35" s="866"/>
      <c r="F35" s="864"/>
      <c r="G35" s="864"/>
      <c r="H35" s="126"/>
      <c r="I35" s="865"/>
      <c r="J35" s="864"/>
      <c r="K35" s="126"/>
      <c r="L35" s="126"/>
      <c r="M35" s="126"/>
      <c r="N35" s="864"/>
      <c r="O35" s="864"/>
      <c r="P35" s="864"/>
      <c r="Q35" s="864"/>
      <c r="R35" s="864"/>
      <c r="S35" s="864"/>
      <c r="T35" s="864"/>
      <c r="U35" s="864"/>
      <c r="V35" s="864"/>
      <c r="W35" s="864"/>
      <c r="X35" s="864"/>
      <c r="Y35" s="864"/>
      <c r="Z35" s="864"/>
      <c r="AA35" s="864"/>
      <c r="AB35" s="864"/>
      <c r="AC35" s="864"/>
      <c r="AD35" s="864"/>
      <c r="AE35" s="864"/>
      <c r="AF35" s="864"/>
      <c r="AG35" s="864"/>
      <c r="AH35" s="863"/>
      <c r="AI35" s="864"/>
      <c r="AJ35" s="864"/>
      <c r="AK35" s="864"/>
      <c r="AL35" s="864"/>
      <c r="AM35" s="865"/>
      <c r="AN35" s="863"/>
      <c r="AO35" s="865"/>
      <c r="AP35" s="864"/>
      <c r="AQ35" s="864"/>
      <c r="AR35" s="864"/>
      <c r="AS35" s="864"/>
      <c r="AT35" s="864"/>
      <c r="AU35" s="864"/>
      <c r="AV35" s="864"/>
      <c r="AW35" s="865"/>
    </row>
    <row r="36" spans="1:49" ht="21" customHeight="1" x14ac:dyDescent="0.15">
      <c r="A36" s="64">
        <v>31</v>
      </c>
      <c r="C36" s="876"/>
      <c r="D36" s="864"/>
      <c r="E36" s="866"/>
      <c r="F36" s="864"/>
      <c r="G36" s="864"/>
      <c r="H36" s="126"/>
      <c r="I36" s="865"/>
      <c r="J36" s="864"/>
      <c r="K36" s="126"/>
      <c r="L36" s="126"/>
      <c r="M36" s="126"/>
      <c r="N36" s="864"/>
      <c r="O36" s="864"/>
      <c r="P36" s="864"/>
      <c r="Q36" s="864"/>
      <c r="R36" s="864"/>
      <c r="S36" s="864"/>
      <c r="T36" s="864"/>
      <c r="U36" s="864"/>
      <c r="V36" s="864"/>
      <c r="W36" s="864"/>
      <c r="X36" s="864"/>
      <c r="Y36" s="864"/>
      <c r="Z36" s="864"/>
      <c r="AA36" s="864"/>
      <c r="AB36" s="864"/>
      <c r="AC36" s="864"/>
      <c r="AD36" s="864"/>
      <c r="AE36" s="864"/>
      <c r="AF36" s="864"/>
      <c r="AG36" s="864"/>
      <c r="AH36" s="863"/>
      <c r="AI36" s="864"/>
      <c r="AJ36" s="864"/>
      <c r="AK36" s="864"/>
      <c r="AL36" s="864"/>
      <c r="AM36" s="865"/>
      <c r="AN36" s="863"/>
      <c r="AO36" s="865"/>
      <c r="AP36" s="864"/>
      <c r="AQ36" s="864"/>
      <c r="AR36" s="864"/>
      <c r="AS36" s="864"/>
      <c r="AT36" s="864"/>
      <c r="AU36" s="864"/>
      <c r="AV36" s="864"/>
      <c r="AW36" s="865"/>
    </row>
    <row r="37" spans="1:49" ht="21" customHeight="1" x14ac:dyDescent="0.15">
      <c r="A37" s="64">
        <v>32</v>
      </c>
      <c r="C37" s="876"/>
      <c r="D37" s="864"/>
      <c r="E37" s="866"/>
      <c r="F37" s="864"/>
      <c r="G37" s="864"/>
      <c r="H37" s="126"/>
      <c r="I37" s="865"/>
      <c r="J37" s="864"/>
      <c r="K37" s="126"/>
      <c r="L37" s="126"/>
      <c r="M37" s="126"/>
      <c r="N37" s="864"/>
      <c r="O37" s="864"/>
      <c r="P37" s="864"/>
      <c r="Q37" s="864"/>
      <c r="R37" s="864"/>
      <c r="S37" s="864"/>
      <c r="T37" s="864"/>
      <c r="U37" s="864"/>
      <c r="V37" s="864"/>
      <c r="W37" s="864"/>
      <c r="X37" s="864"/>
      <c r="Y37" s="864"/>
      <c r="Z37" s="864"/>
      <c r="AA37" s="864"/>
      <c r="AB37" s="864"/>
      <c r="AC37" s="864"/>
      <c r="AD37" s="864"/>
      <c r="AE37" s="864"/>
      <c r="AF37" s="864"/>
      <c r="AG37" s="864"/>
      <c r="AH37" s="863"/>
      <c r="AI37" s="864"/>
      <c r="AJ37" s="864"/>
      <c r="AK37" s="864"/>
      <c r="AL37" s="864"/>
      <c r="AM37" s="865"/>
      <c r="AN37" s="863"/>
      <c r="AO37" s="865"/>
      <c r="AP37" s="864"/>
      <c r="AQ37" s="864"/>
      <c r="AR37" s="864"/>
      <c r="AS37" s="864"/>
      <c r="AT37" s="864"/>
      <c r="AU37" s="864"/>
      <c r="AV37" s="864"/>
      <c r="AW37" s="865"/>
    </row>
    <row r="38" spans="1:49" ht="21" customHeight="1" x14ac:dyDescent="0.15">
      <c r="A38" s="64">
        <v>33</v>
      </c>
      <c r="C38" s="876"/>
      <c r="D38" s="864"/>
      <c r="E38" s="866"/>
      <c r="F38" s="864"/>
      <c r="G38" s="864"/>
      <c r="H38" s="126"/>
      <c r="I38" s="865"/>
      <c r="J38" s="864"/>
      <c r="K38" s="126"/>
      <c r="L38" s="126"/>
      <c r="M38" s="126"/>
      <c r="N38" s="864"/>
      <c r="O38" s="864"/>
      <c r="P38" s="864"/>
      <c r="Q38" s="864"/>
      <c r="R38" s="864"/>
      <c r="S38" s="864"/>
      <c r="T38" s="864"/>
      <c r="U38" s="864"/>
      <c r="V38" s="864"/>
      <c r="W38" s="864"/>
      <c r="X38" s="864"/>
      <c r="Y38" s="864"/>
      <c r="Z38" s="864"/>
      <c r="AA38" s="864"/>
      <c r="AB38" s="864"/>
      <c r="AC38" s="864"/>
      <c r="AD38" s="864"/>
      <c r="AE38" s="864"/>
      <c r="AF38" s="864"/>
      <c r="AG38" s="864"/>
      <c r="AH38" s="863"/>
      <c r="AI38" s="864"/>
      <c r="AJ38" s="864"/>
      <c r="AK38" s="864"/>
      <c r="AL38" s="864"/>
      <c r="AM38" s="865"/>
      <c r="AN38" s="863"/>
      <c r="AO38" s="865"/>
      <c r="AP38" s="864"/>
      <c r="AQ38" s="864"/>
      <c r="AR38" s="864"/>
      <c r="AS38" s="864"/>
      <c r="AT38" s="864"/>
      <c r="AU38" s="864"/>
      <c r="AV38" s="864"/>
      <c r="AW38" s="865"/>
    </row>
    <row r="39" spans="1:49" ht="21" customHeight="1" x14ac:dyDescent="0.15">
      <c r="A39" s="64">
        <v>34</v>
      </c>
      <c r="C39" s="876"/>
      <c r="D39" s="864"/>
      <c r="E39" s="866"/>
      <c r="F39" s="864"/>
      <c r="G39" s="864"/>
      <c r="H39" s="126"/>
      <c r="I39" s="865"/>
      <c r="J39" s="864"/>
      <c r="K39" s="126"/>
      <c r="L39" s="126"/>
      <c r="M39" s="126"/>
      <c r="N39" s="864"/>
      <c r="O39" s="864"/>
      <c r="P39" s="864"/>
      <c r="Q39" s="864"/>
      <c r="R39" s="864"/>
      <c r="S39" s="864"/>
      <c r="T39" s="864"/>
      <c r="U39" s="864"/>
      <c r="V39" s="864"/>
      <c r="W39" s="864"/>
      <c r="X39" s="864"/>
      <c r="Y39" s="864"/>
      <c r="Z39" s="864"/>
      <c r="AA39" s="864"/>
      <c r="AB39" s="864"/>
      <c r="AC39" s="864"/>
      <c r="AD39" s="864"/>
      <c r="AE39" s="864"/>
      <c r="AF39" s="864"/>
      <c r="AG39" s="864"/>
      <c r="AH39" s="863"/>
      <c r="AI39" s="864"/>
      <c r="AJ39" s="864"/>
      <c r="AK39" s="864"/>
      <c r="AL39" s="864"/>
      <c r="AM39" s="865"/>
      <c r="AN39" s="863"/>
      <c r="AO39" s="865"/>
      <c r="AP39" s="864"/>
      <c r="AQ39" s="864"/>
      <c r="AR39" s="864"/>
      <c r="AS39" s="864"/>
      <c r="AT39" s="864"/>
      <c r="AU39" s="864"/>
      <c r="AV39" s="864"/>
      <c r="AW39" s="865"/>
    </row>
    <row r="40" spans="1:49" ht="21" customHeight="1" x14ac:dyDescent="0.15">
      <c r="A40" s="64">
        <v>35</v>
      </c>
      <c r="C40" s="877"/>
      <c r="D40" s="868"/>
      <c r="E40" s="871"/>
      <c r="F40" s="868"/>
      <c r="G40" s="868"/>
      <c r="H40" s="870"/>
      <c r="I40" s="869"/>
      <c r="J40" s="868"/>
      <c r="K40" s="870"/>
      <c r="L40" s="870"/>
      <c r="M40" s="870"/>
      <c r="N40" s="868"/>
      <c r="O40" s="868"/>
      <c r="P40" s="868"/>
      <c r="Q40" s="868"/>
      <c r="R40" s="868"/>
      <c r="S40" s="868"/>
      <c r="T40" s="868"/>
      <c r="U40" s="868"/>
      <c r="V40" s="868"/>
      <c r="W40" s="868"/>
      <c r="X40" s="868"/>
      <c r="Y40" s="868"/>
      <c r="Z40" s="868"/>
      <c r="AA40" s="868"/>
      <c r="AB40" s="868"/>
      <c r="AC40" s="868"/>
      <c r="AD40" s="868"/>
      <c r="AE40" s="868"/>
      <c r="AF40" s="868"/>
      <c r="AG40" s="868"/>
      <c r="AH40" s="867"/>
      <c r="AI40" s="868"/>
      <c r="AJ40" s="868"/>
      <c r="AK40" s="868"/>
      <c r="AL40" s="868"/>
      <c r="AM40" s="869"/>
      <c r="AN40" s="867"/>
      <c r="AO40" s="869"/>
      <c r="AP40" s="868"/>
      <c r="AQ40" s="868"/>
      <c r="AR40" s="868"/>
      <c r="AS40" s="868"/>
      <c r="AT40" s="868"/>
      <c r="AU40" s="868"/>
      <c r="AV40" s="868"/>
      <c r="AW40" s="869"/>
    </row>
    <row r="41" spans="1:49" ht="21" customHeight="1" x14ac:dyDescent="0.15">
      <c r="A41" s="64">
        <v>36</v>
      </c>
    </row>
    <row r="42" spans="1:49" ht="21" customHeight="1" x14ac:dyDescent="0.15"/>
    <row r="43" spans="1:49" ht="21" customHeight="1" x14ac:dyDescent="0.15"/>
    <row r="44" spans="1:49" ht="21" customHeight="1" x14ac:dyDescent="0.15"/>
    <row r="45" spans="1:49" ht="21" customHeight="1" x14ac:dyDescent="0.15"/>
    <row r="46" spans="1:49" ht="21" customHeight="1" x14ac:dyDescent="0.15"/>
    <row r="47" spans="1:49" ht="21" customHeight="1" x14ac:dyDescent="0.15"/>
    <row r="48" spans="1:49" ht="21" customHeight="1" x14ac:dyDescent="0.15"/>
    <row r="49" ht="21" customHeight="1" x14ac:dyDescent="0.15"/>
    <row r="50" ht="21" customHeight="1" x14ac:dyDescent="0.15"/>
    <row r="51" ht="21" customHeight="1" x14ac:dyDescent="0.15"/>
    <row r="52" ht="21" customHeight="1" x14ac:dyDescent="0.15"/>
    <row r="53" ht="21" customHeight="1" x14ac:dyDescent="0.15"/>
    <row r="54" ht="21" customHeight="1" x14ac:dyDescent="0.15"/>
    <row r="55" ht="21" customHeight="1" x14ac:dyDescent="0.15"/>
    <row r="56" ht="21" customHeight="1" x14ac:dyDescent="0.15"/>
    <row r="57" ht="21" customHeight="1" x14ac:dyDescent="0.15"/>
    <row r="58" ht="21" customHeight="1" x14ac:dyDescent="0.15"/>
    <row r="59" ht="21" customHeight="1" x14ac:dyDescent="0.15"/>
    <row r="60" ht="21" customHeight="1" x14ac:dyDescent="0.15"/>
    <row r="61" ht="21" customHeight="1" x14ac:dyDescent="0.15"/>
    <row r="62" ht="21" customHeight="1" x14ac:dyDescent="0.15"/>
    <row r="63" ht="21" customHeight="1" x14ac:dyDescent="0.15"/>
    <row r="64" ht="21" customHeight="1" x14ac:dyDescent="0.15"/>
    <row r="65" ht="21" customHeight="1" x14ac:dyDescent="0.15"/>
    <row r="66" ht="21" customHeight="1" x14ac:dyDescent="0.15"/>
    <row r="67" ht="21" customHeight="1" x14ac:dyDescent="0.15"/>
    <row r="68" ht="21" customHeight="1" x14ac:dyDescent="0.15"/>
    <row r="69" ht="21" customHeight="1" x14ac:dyDescent="0.15"/>
    <row r="70" ht="21" customHeight="1" x14ac:dyDescent="0.15"/>
    <row r="71" ht="21" customHeight="1" x14ac:dyDescent="0.15"/>
  </sheetData>
  <mergeCells count="8">
    <mergeCell ref="AN5:AO6"/>
    <mergeCell ref="AP5:AW6"/>
    <mergeCell ref="AH5:AM5"/>
    <mergeCell ref="AH6:AI6"/>
    <mergeCell ref="C5:C6"/>
    <mergeCell ref="D5:D6"/>
    <mergeCell ref="E5:I6"/>
    <mergeCell ref="J5:AG6"/>
  </mergeCells>
  <phoneticPr fontId="4"/>
  <pageMargins left="0.7" right="0.7" top="0.75" bottom="0.75" header="0.3" footer="0.3"/>
  <pageSetup paperSize="8" orientation="landscape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AF1FC-4789-4B2F-BD1D-578B574A5CCD}">
  <dimension ref="A1:Y38"/>
  <sheetViews>
    <sheetView view="pageBreakPreview" zoomScale="85" zoomScaleNormal="100" zoomScaleSheetLayoutView="85" workbookViewId="0">
      <selection activeCell="J61" sqref="J61"/>
    </sheetView>
  </sheetViews>
  <sheetFormatPr defaultRowHeight="10.5" x14ac:dyDescent="0.15"/>
  <cols>
    <col min="1" max="1" width="5" style="53" customWidth="1"/>
    <col min="2" max="2" width="5.625" style="53" customWidth="1"/>
    <col min="3" max="4" width="7.625" style="53" customWidth="1"/>
    <col min="5" max="5" width="6.625" style="53" customWidth="1"/>
    <col min="6" max="6" width="7.625" style="53" customWidth="1"/>
    <col min="7" max="8" width="9" style="53"/>
    <col min="9" max="9" width="6.625" style="6" customWidth="1"/>
    <col min="10" max="10" width="30.625" style="53" customWidth="1"/>
    <col min="11" max="11" width="9" style="53"/>
    <col min="12" max="12" width="9" style="6"/>
    <col min="13" max="13" width="9" style="53"/>
    <col min="14" max="14" width="4.625" style="53" customWidth="1"/>
    <col min="15" max="15" width="9" style="53"/>
    <col min="16" max="16" width="6.625" style="6" customWidth="1"/>
    <col min="17" max="17" width="30.625" style="53" customWidth="1"/>
    <col min="18" max="18" width="9" style="53"/>
    <col min="19" max="19" width="8" style="6" customWidth="1"/>
    <col min="20" max="21" width="8.625" style="6" customWidth="1"/>
    <col min="22" max="22" width="6.375" style="53" customWidth="1"/>
    <col min="23" max="23" width="14.375" style="53" customWidth="1"/>
    <col min="24" max="24" width="12.875" style="53" customWidth="1"/>
    <col min="25" max="25" width="16.625" style="53" customWidth="1"/>
    <col min="26" max="16384" width="9" style="53"/>
  </cols>
  <sheetData>
    <row r="1" spans="1:25" x14ac:dyDescent="0.15">
      <c r="A1" s="497"/>
      <c r="B1" s="498" t="s">
        <v>256</v>
      </c>
      <c r="C1" s="498"/>
      <c r="D1" s="498"/>
      <c r="E1" s="498"/>
      <c r="F1" s="498"/>
      <c r="G1" s="498"/>
      <c r="H1" s="498"/>
      <c r="I1" s="497"/>
      <c r="J1" s="498"/>
      <c r="K1" s="498"/>
      <c r="L1" s="497"/>
      <c r="M1" s="498"/>
      <c r="N1" s="498"/>
      <c r="O1" s="498"/>
      <c r="P1" s="497"/>
      <c r="Q1" s="498"/>
      <c r="R1" s="498"/>
      <c r="S1" s="497"/>
      <c r="T1" s="497"/>
      <c r="U1" s="497"/>
      <c r="V1" s="498"/>
      <c r="W1" s="498"/>
      <c r="X1" s="498"/>
      <c r="Y1" s="498"/>
    </row>
    <row r="2" spans="1:25" ht="12" x14ac:dyDescent="0.15">
      <c r="A2" s="499" t="s">
        <v>257</v>
      </c>
      <c r="B2" s="500"/>
      <c r="C2" s="501" t="s">
        <v>545</v>
      </c>
      <c r="D2" s="502" t="s">
        <v>258</v>
      </c>
      <c r="E2" s="503" t="s">
        <v>537</v>
      </c>
      <c r="F2" s="503"/>
      <c r="G2" s="503" t="s">
        <v>259</v>
      </c>
      <c r="H2" s="500"/>
      <c r="I2" s="503" t="s">
        <v>260</v>
      </c>
      <c r="J2" s="503"/>
      <c r="K2" s="503"/>
      <c r="L2" s="503"/>
      <c r="M2" s="503"/>
      <c r="N2" s="503"/>
      <c r="O2" s="503"/>
      <c r="P2" s="499" t="s">
        <v>261</v>
      </c>
      <c r="Q2" s="503"/>
      <c r="R2" s="503"/>
      <c r="S2" s="503"/>
      <c r="T2" s="503"/>
      <c r="U2" s="503"/>
      <c r="V2" s="503"/>
      <c r="W2" s="503"/>
      <c r="X2" s="500"/>
      <c r="Y2" s="504" t="s">
        <v>262</v>
      </c>
    </row>
    <row r="3" spans="1:25" ht="12" x14ac:dyDescent="0.15">
      <c r="A3" s="505"/>
      <c r="B3" s="506"/>
      <c r="C3" s="507" t="s">
        <v>263</v>
      </c>
      <c r="D3" s="360" t="s">
        <v>264</v>
      </c>
      <c r="E3" s="360" t="s">
        <v>265</v>
      </c>
      <c r="F3" s="359" t="s">
        <v>266</v>
      </c>
      <c r="G3" s="359" t="s">
        <v>267</v>
      </c>
      <c r="H3" s="508" t="s">
        <v>268</v>
      </c>
      <c r="I3" s="509" t="s">
        <v>269</v>
      </c>
      <c r="J3" s="360" t="s">
        <v>270</v>
      </c>
      <c r="K3" s="360" t="s">
        <v>538</v>
      </c>
      <c r="L3" s="360" t="s">
        <v>539</v>
      </c>
      <c r="M3" s="360" t="s">
        <v>271</v>
      </c>
      <c r="N3" s="360" t="s">
        <v>272</v>
      </c>
      <c r="O3" s="360" t="s">
        <v>540</v>
      </c>
      <c r="P3" s="510" t="s">
        <v>269</v>
      </c>
      <c r="Q3" s="509" t="s">
        <v>270</v>
      </c>
      <c r="R3" s="509" t="s">
        <v>541</v>
      </c>
      <c r="S3" s="509" t="s">
        <v>542</v>
      </c>
      <c r="T3" s="361" t="s">
        <v>273</v>
      </c>
      <c r="U3" s="361" t="s">
        <v>274</v>
      </c>
      <c r="V3" s="509" t="s">
        <v>275</v>
      </c>
      <c r="W3" s="360" t="s">
        <v>543</v>
      </c>
      <c r="X3" s="511" t="s">
        <v>544</v>
      </c>
      <c r="Y3" s="512"/>
    </row>
    <row r="4" spans="1:25" ht="13.5" customHeight="1" x14ac:dyDescent="0.15">
      <c r="A4" s="513" t="s">
        <v>276</v>
      </c>
      <c r="B4" s="514"/>
      <c r="C4" s="515"/>
      <c r="D4" s="516"/>
      <c r="E4" s="517"/>
      <c r="F4" s="517"/>
      <c r="G4" s="518"/>
      <c r="H4" s="519"/>
      <c r="I4" s="520"/>
      <c r="J4" s="362"/>
      <c r="K4" s="521"/>
      <c r="L4" s="522"/>
      <c r="M4" s="521"/>
      <c r="N4" s="523"/>
      <c r="O4" s="524"/>
      <c r="P4" s="525"/>
      <c r="Q4" s="362"/>
      <c r="R4" s="521"/>
      <c r="S4" s="522"/>
      <c r="T4" s="526"/>
      <c r="U4" s="527"/>
      <c r="V4" s="528"/>
      <c r="W4" s="529"/>
      <c r="X4" s="530"/>
      <c r="Y4" s="363"/>
    </row>
    <row r="5" spans="1:25" x14ac:dyDescent="0.15">
      <c r="A5" s="531"/>
      <c r="B5" s="532"/>
      <c r="C5" s="533"/>
      <c r="D5" s="534"/>
      <c r="E5" s="535"/>
      <c r="F5" s="536"/>
      <c r="G5" s="535"/>
      <c r="H5" s="537"/>
      <c r="I5" s="535"/>
      <c r="J5" s="538"/>
      <c r="K5" s="539"/>
      <c r="L5" s="540"/>
      <c r="M5" s="535"/>
      <c r="N5" s="541"/>
      <c r="O5" s="524"/>
      <c r="P5" s="533"/>
      <c r="Q5" s="538"/>
      <c r="R5" s="497"/>
      <c r="S5" s="522"/>
      <c r="T5" s="542"/>
      <c r="U5" s="542"/>
      <c r="V5" s="528"/>
      <c r="W5" s="529"/>
      <c r="X5" s="530"/>
      <c r="Y5" s="364"/>
    </row>
    <row r="6" spans="1:25" x14ac:dyDescent="0.15">
      <c r="A6" s="543"/>
      <c r="B6" s="544"/>
      <c r="C6" s="545"/>
      <c r="D6" s="546"/>
      <c r="E6" s="547"/>
      <c r="F6" s="548"/>
      <c r="G6" s="547"/>
      <c r="H6" s="549"/>
      <c r="I6" s="550"/>
      <c r="J6" s="551"/>
      <c r="K6" s="550"/>
      <c r="L6" s="552"/>
      <c r="M6" s="550"/>
      <c r="N6" s="553"/>
      <c r="O6" s="554"/>
      <c r="P6" s="545"/>
      <c r="Q6" s="555"/>
      <c r="R6" s="547"/>
      <c r="S6" s="556"/>
      <c r="T6" s="557"/>
      <c r="U6" s="557"/>
      <c r="V6" s="528"/>
      <c r="W6" s="529"/>
      <c r="X6" s="530"/>
      <c r="Y6" s="365"/>
    </row>
    <row r="7" spans="1:25" ht="13.5" customHeight="1" x14ac:dyDescent="0.15">
      <c r="A7" s="513" t="s">
        <v>277</v>
      </c>
      <c r="B7" s="514"/>
      <c r="C7" s="558"/>
      <c r="D7" s="559"/>
      <c r="E7" s="560"/>
      <c r="F7" s="560"/>
      <c r="G7" s="561"/>
      <c r="H7" s="562"/>
      <c r="I7" s="563"/>
      <c r="J7" s="366"/>
      <c r="K7" s="564"/>
      <c r="L7" s="565"/>
      <c r="M7" s="564"/>
      <c r="N7" s="566"/>
      <c r="O7" s="567"/>
      <c r="P7" s="568"/>
      <c r="Q7" s="366"/>
      <c r="R7" s="564"/>
      <c r="S7" s="565"/>
      <c r="T7" s="569"/>
      <c r="U7" s="570"/>
      <c r="V7" s="571"/>
      <c r="W7" s="572"/>
      <c r="X7" s="573"/>
      <c r="Y7" s="367"/>
    </row>
    <row r="8" spans="1:25" x14ac:dyDescent="0.15">
      <c r="A8" s="531"/>
      <c r="B8" s="532"/>
      <c r="C8" s="533"/>
      <c r="D8" s="534"/>
      <c r="E8" s="535"/>
      <c r="F8" s="536"/>
      <c r="G8" s="535"/>
      <c r="H8" s="537"/>
      <c r="I8" s="574"/>
      <c r="J8" s="538"/>
      <c r="K8" s="539"/>
      <c r="L8" s="540"/>
      <c r="M8" s="535"/>
      <c r="N8" s="541"/>
      <c r="O8" s="524"/>
      <c r="P8" s="575"/>
      <c r="Q8" s="538"/>
      <c r="R8" s="521"/>
      <c r="S8" s="522"/>
      <c r="T8" s="542"/>
      <c r="U8" s="542"/>
      <c r="V8" s="528"/>
      <c r="W8" s="529"/>
      <c r="X8" s="530"/>
      <c r="Y8" s="364"/>
    </row>
    <row r="9" spans="1:25" x14ac:dyDescent="0.15">
      <c r="A9" s="531"/>
      <c r="B9" s="532"/>
      <c r="C9" s="545"/>
      <c r="D9" s="546"/>
      <c r="E9" s="547"/>
      <c r="F9" s="548"/>
      <c r="G9" s="547"/>
      <c r="H9" s="549"/>
      <c r="I9" s="576"/>
      <c r="J9" s="577"/>
      <c r="K9" s="578"/>
      <c r="L9" s="540"/>
      <c r="M9" s="547"/>
      <c r="N9" s="579"/>
      <c r="O9" s="524"/>
      <c r="P9" s="575"/>
      <c r="Q9" s="580"/>
      <c r="R9" s="581"/>
      <c r="S9" s="540"/>
      <c r="T9" s="542"/>
      <c r="U9" s="542"/>
      <c r="V9" s="528"/>
      <c r="W9" s="529"/>
      <c r="X9" s="530"/>
      <c r="Y9" s="368"/>
    </row>
    <row r="10" spans="1:25" x14ac:dyDescent="0.15">
      <c r="A10" s="531"/>
      <c r="B10" s="532"/>
      <c r="C10" s="545"/>
      <c r="D10" s="546"/>
      <c r="E10" s="547"/>
      <c r="F10" s="548"/>
      <c r="G10" s="547"/>
      <c r="H10" s="549"/>
      <c r="I10" s="576"/>
      <c r="J10" s="577"/>
      <c r="K10" s="578"/>
      <c r="L10" s="540"/>
      <c r="M10" s="547"/>
      <c r="N10" s="579"/>
      <c r="O10" s="524"/>
      <c r="P10" s="575"/>
      <c r="Q10" s="580"/>
      <c r="R10" s="581"/>
      <c r="S10" s="540"/>
      <c r="T10" s="582"/>
      <c r="U10" s="582"/>
      <c r="V10" s="528"/>
      <c r="W10" s="529"/>
      <c r="X10" s="530"/>
      <c r="Y10" s="368"/>
    </row>
    <row r="11" spans="1:25" x14ac:dyDescent="0.15">
      <c r="A11" s="531"/>
      <c r="B11" s="532"/>
      <c r="C11" s="545"/>
      <c r="D11" s="546"/>
      <c r="E11" s="547"/>
      <c r="F11" s="548"/>
      <c r="G11" s="547"/>
      <c r="H11" s="549"/>
      <c r="I11" s="576"/>
      <c r="J11" s="577"/>
      <c r="K11" s="578"/>
      <c r="L11" s="540"/>
      <c r="M11" s="547"/>
      <c r="N11" s="579"/>
      <c r="O11" s="524"/>
      <c r="P11" s="575"/>
      <c r="Q11" s="555"/>
      <c r="R11" s="581"/>
      <c r="S11" s="540"/>
      <c r="T11" s="582"/>
      <c r="U11" s="582"/>
      <c r="V11" s="528"/>
      <c r="W11" s="529"/>
      <c r="X11" s="530"/>
      <c r="Y11" s="368"/>
    </row>
    <row r="12" spans="1:25" x14ac:dyDescent="0.15">
      <c r="A12" s="531"/>
      <c r="B12" s="532"/>
      <c r="C12" s="583"/>
      <c r="D12" s="584"/>
      <c r="E12" s="550"/>
      <c r="F12" s="585"/>
      <c r="G12" s="550"/>
      <c r="H12" s="586"/>
      <c r="I12" s="576"/>
      <c r="J12" s="555"/>
      <c r="K12" s="547"/>
      <c r="L12" s="556"/>
      <c r="M12" s="547"/>
      <c r="N12" s="579"/>
      <c r="O12" s="524"/>
      <c r="P12" s="575"/>
      <c r="Q12" s="577"/>
      <c r="R12" s="547"/>
      <c r="S12" s="556"/>
      <c r="T12" s="557"/>
      <c r="U12" s="557"/>
      <c r="V12" s="528"/>
      <c r="W12" s="529"/>
      <c r="X12" s="530"/>
      <c r="Y12" s="368"/>
    </row>
    <row r="13" spans="1:25" ht="13.5" customHeight="1" x14ac:dyDescent="0.15">
      <c r="A13" s="513" t="s">
        <v>278</v>
      </c>
      <c r="B13" s="514"/>
      <c r="C13" s="558"/>
      <c r="D13" s="559"/>
      <c r="E13" s="560"/>
      <c r="F13" s="560"/>
      <c r="G13" s="561"/>
      <c r="H13" s="562"/>
      <c r="I13" s="563"/>
      <c r="J13" s="366"/>
      <c r="K13" s="564"/>
      <c r="L13" s="565"/>
      <c r="M13" s="564"/>
      <c r="N13" s="566"/>
      <c r="O13" s="567"/>
      <c r="P13" s="568"/>
      <c r="Q13" s="366"/>
      <c r="R13" s="564"/>
      <c r="S13" s="565"/>
      <c r="T13" s="569"/>
      <c r="U13" s="570"/>
      <c r="V13" s="571"/>
      <c r="W13" s="572"/>
      <c r="X13" s="573"/>
      <c r="Y13" s="369"/>
    </row>
    <row r="14" spans="1:25" x14ac:dyDescent="0.15">
      <c r="A14" s="531"/>
      <c r="B14" s="532"/>
      <c r="C14" s="533"/>
      <c r="D14" s="534"/>
      <c r="E14" s="535"/>
      <c r="F14" s="536"/>
      <c r="G14" s="535"/>
      <c r="H14" s="537"/>
      <c r="I14" s="574"/>
      <c r="J14" s="538"/>
      <c r="K14" s="539"/>
      <c r="L14" s="540"/>
      <c r="M14" s="535"/>
      <c r="N14" s="541"/>
      <c r="O14" s="524"/>
      <c r="P14" s="575"/>
      <c r="Q14" s="538"/>
      <c r="R14" s="521"/>
      <c r="S14" s="540"/>
      <c r="T14" s="542"/>
      <c r="U14" s="542"/>
      <c r="V14" s="528"/>
      <c r="W14" s="529"/>
      <c r="X14" s="530"/>
      <c r="Y14" s="370"/>
    </row>
    <row r="15" spans="1:25" x14ac:dyDescent="0.15">
      <c r="A15" s="531"/>
      <c r="B15" s="532"/>
      <c r="C15" s="545"/>
      <c r="D15" s="546"/>
      <c r="E15" s="547"/>
      <c r="F15" s="548"/>
      <c r="G15" s="547"/>
      <c r="H15" s="549"/>
      <c r="I15" s="576"/>
      <c r="J15" s="577"/>
      <c r="K15" s="578"/>
      <c r="L15" s="540"/>
      <c r="M15" s="547"/>
      <c r="N15" s="579"/>
      <c r="O15" s="524"/>
      <c r="P15" s="575"/>
      <c r="Q15" s="580"/>
      <c r="R15" s="581"/>
      <c r="S15" s="540"/>
      <c r="T15" s="542"/>
      <c r="U15" s="542"/>
      <c r="V15" s="528"/>
      <c r="W15" s="529"/>
      <c r="X15" s="530"/>
      <c r="Y15" s="368"/>
    </row>
    <row r="16" spans="1:25" x14ac:dyDescent="0.15">
      <c r="A16" s="531"/>
      <c r="B16" s="532"/>
      <c r="C16" s="545"/>
      <c r="D16" s="546"/>
      <c r="E16" s="547"/>
      <c r="F16" s="548"/>
      <c r="G16" s="547"/>
      <c r="H16" s="549"/>
      <c r="I16" s="576"/>
      <c r="J16" s="577"/>
      <c r="K16" s="578"/>
      <c r="L16" s="540"/>
      <c r="M16" s="547"/>
      <c r="N16" s="579"/>
      <c r="O16" s="524"/>
      <c r="P16" s="575"/>
      <c r="Q16" s="580"/>
      <c r="R16" s="581"/>
      <c r="S16" s="540"/>
      <c r="T16" s="582"/>
      <c r="U16" s="582"/>
      <c r="V16" s="528"/>
      <c r="W16" s="529"/>
      <c r="X16" s="530"/>
      <c r="Y16" s="371"/>
    </row>
    <row r="17" spans="1:25" x14ac:dyDescent="0.15">
      <c r="A17" s="531"/>
      <c r="B17" s="532"/>
      <c r="C17" s="545"/>
      <c r="D17" s="546"/>
      <c r="E17" s="547"/>
      <c r="F17" s="548"/>
      <c r="G17" s="547"/>
      <c r="H17" s="549"/>
      <c r="I17" s="576"/>
      <c r="J17" s="577"/>
      <c r="K17" s="578"/>
      <c r="L17" s="540"/>
      <c r="M17" s="547"/>
      <c r="N17" s="579"/>
      <c r="O17" s="524"/>
      <c r="P17" s="575"/>
      <c r="Q17" s="555"/>
      <c r="R17" s="581"/>
      <c r="S17" s="540"/>
      <c r="T17" s="582"/>
      <c r="U17" s="582"/>
      <c r="V17" s="528"/>
      <c r="W17" s="529"/>
      <c r="X17" s="530"/>
      <c r="Y17" s="371"/>
    </row>
    <row r="18" spans="1:25" x14ac:dyDescent="0.15">
      <c r="A18" s="543"/>
      <c r="B18" s="544"/>
      <c r="C18" s="583"/>
      <c r="D18" s="584"/>
      <c r="E18" s="550"/>
      <c r="F18" s="585"/>
      <c r="G18" s="550"/>
      <c r="H18" s="586"/>
      <c r="I18" s="587"/>
      <c r="J18" s="551"/>
      <c r="K18" s="550"/>
      <c r="L18" s="552"/>
      <c r="M18" s="550"/>
      <c r="N18" s="553"/>
      <c r="O18" s="554"/>
      <c r="P18" s="588"/>
      <c r="Q18" s="589"/>
      <c r="R18" s="550"/>
      <c r="S18" s="552"/>
      <c r="T18" s="590"/>
      <c r="U18" s="590"/>
      <c r="V18" s="591"/>
      <c r="W18" s="592"/>
      <c r="X18" s="593"/>
      <c r="Y18" s="372"/>
    </row>
    <row r="19" spans="1:25" ht="13.5" customHeight="1" x14ac:dyDescent="0.15">
      <c r="A19" s="531" t="s">
        <v>279</v>
      </c>
      <c r="B19" s="532"/>
      <c r="C19" s="515"/>
      <c r="D19" s="516"/>
      <c r="E19" s="517"/>
      <c r="F19" s="517"/>
      <c r="G19" s="518"/>
      <c r="H19" s="519"/>
      <c r="I19" s="520"/>
      <c r="J19" s="362"/>
      <c r="K19" s="521"/>
      <c r="L19" s="522"/>
      <c r="M19" s="521"/>
      <c r="N19" s="528"/>
      <c r="O19" s="524"/>
      <c r="P19" s="575"/>
      <c r="Q19" s="362"/>
      <c r="R19" s="564"/>
      <c r="S19" s="522"/>
      <c r="T19" s="526"/>
      <c r="U19" s="527"/>
      <c r="V19" s="528"/>
      <c r="W19" s="529"/>
      <c r="X19" s="530"/>
      <c r="Y19" s="363"/>
    </row>
    <row r="20" spans="1:25" x14ac:dyDescent="0.15">
      <c r="A20" s="531"/>
      <c r="B20" s="532"/>
      <c r="C20" s="594"/>
      <c r="D20" s="595"/>
      <c r="E20" s="596"/>
      <c r="F20" s="596"/>
      <c r="G20" s="597"/>
      <c r="H20" s="598"/>
      <c r="I20" s="574"/>
      <c r="J20" s="538"/>
      <c r="K20" s="539"/>
      <c r="L20" s="540"/>
      <c r="M20" s="535"/>
      <c r="N20" s="528"/>
      <c r="O20" s="524"/>
      <c r="P20" s="575"/>
      <c r="Q20" s="538"/>
      <c r="R20" s="535"/>
      <c r="S20" s="540"/>
      <c r="T20" s="542"/>
      <c r="U20" s="542"/>
      <c r="V20" s="528"/>
      <c r="W20" s="529"/>
      <c r="X20" s="530"/>
      <c r="Y20" s="364"/>
    </row>
    <row r="21" spans="1:25" x14ac:dyDescent="0.15">
      <c r="A21" s="531"/>
      <c r="B21" s="532"/>
      <c r="C21" s="545"/>
      <c r="D21" s="546"/>
      <c r="E21" s="599"/>
      <c r="F21" s="599"/>
      <c r="G21" s="547"/>
      <c r="H21" s="549"/>
      <c r="I21" s="576"/>
      <c r="J21" s="577"/>
      <c r="K21" s="578"/>
      <c r="L21" s="540"/>
      <c r="M21" s="547"/>
      <c r="N21" s="528"/>
      <c r="O21" s="524"/>
      <c r="P21" s="575"/>
      <c r="Q21" s="580"/>
      <c r="R21" s="547"/>
      <c r="S21" s="540"/>
      <c r="T21" s="542"/>
      <c r="U21" s="542"/>
      <c r="V21" s="528"/>
      <c r="W21" s="529"/>
      <c r="X21" s="530"/>
      <c r="Y21" s="368"/>
    </row>
    <row r="22" spans="1:25" x14ac:dyDescent="0.15">
      <c r="A22" s="531"/>
      <c r="B22" s="532"/>
      <c r="C22" s="545"/>
      <c r="D22" s="546"/>
      <c r="E22" s="599"/>
      <c r="F22" s="599"/>
      <c r="G22" s="547"/>
      <c r="H22" s="549"/>
      <c r="I22" s="576"/>
      <c r="J22" s="577"/>
      <c r="K22" s="578"/>
      <c r="L22" s="540"/>
      <c r="M22" s="547"/>
      <c r="N22" s="528"/>
      <c r="O22" s="524"/>
      <c r="P22" s="575"/>
      <c r="Q22" s="580"/>
      <c r="R22" s="547"/>
      <c r="S22" s="540"/>
      <c r="T22" s="582"/>
      <c r="U22" s="582"/>
      <c r="V22" s="528"/>
      <c r="W22" s="529"/>
      <c r="X22" s="530"/>
      <c r="Y22" s="368"/>
    </row>
    <row r="23" spans="1:25" x14ac:dyDescent="0.15">
      <c r="A23" s="531"/>
      <c r="B23" s="532"/>
      <c r="C23" s="545"/>
      <c r="D23" s="546"/>
      <c r="E23" s="599"/>
      <c r="F23" s="599"/>
      <c r="G23" s="547"/>
      <c r="H23" s="549"/>
      <c r="I23" s="576"/>
      <c r="J23" s="555"/>
      <c r="K23" s="578"/>
      <c r="L23" s="540"/>
      <c r="M23" s="547"/>
      <c r="N23" s="528"/>
      <c r="O23" s="524"/>
      <c r="P23" s="575"/>
      <c r="Q23" s="555"/>
      <c r="R23" s="547"/>
      <c r="S23" s="540"/>
      <c r="T23" s="582"/>
      <c r="U23" s="582"/>
      <c r="V23" s="528"/>
      <c r="W23" s="529"/>
      <c r="X23" s="530"/>
      <c r="Y23" s="368"/>
    </row>
    <row r="24" spans="1:25" x14ac:dyDescent="0.15">
      <c r="A24" s="531"/>
      <c r="B24" s="532"/>
      <c r="C24" s="545"/>
      <c r="D24" s="546"/>
      <c r="E24" s="547"/>
      <c r="F24" s="548"/>
      <c r="G24" s="547"/>
      <c r="H24" s="549"/>
      <c r="I24" s="576"/>
      <c r="J24" s="577"/>
      <c r="K24" s="547"/>
      <c r="L24" s="556"/>
      <c r="M24" s="547"/>
      <c r="N24" s="528"/>
      <c r="O24" s="524"/>
      <c r="P24" s="575"/>
      <c r="Q24" s="577"/>
      <c r="R24" s="547"/>
      <c r="S24" s="556"/>
      <c r="T24" s="557"/>
      <c r="U24" s="557"/>
      <c r="V24" s="528"/>
      <c r="W24" s="529"/>
      <c r="X24" s="530"/>
      <c r="Y24" s="365"/>
    </row>
    <row r="25" spans="1:25" ht="13.5" customHeight="1" x14ac:dyDescent="0.15">
      <c r="A25" s="513" t="s">
        <v>280</v>
      </c>
      <c r="B25" s="514"/>
      <c r="C25" s="558"/>
      <c r="D25" s="559"/>
      <c r="E25" s="560"/>
      <c r="F25" s="560"/>
      <c r="G25" s="561"/>
      <c r="H25" s="562"/>
      <c r="I25" s="563"/>
      <c r="J25" s="366"/>
      <c r="K25" s="564"/>
      <c r="L25" s="565"/>
      <c r="M25" s="564"/>
      <c r="N25" s="571"/>
      <c r="O25" s="567"/>
      <c r="P25" s="568"/>
      <c r="Q25" s="366"/>
      <c r="R25" s="564"/>
      <c r="S25" s="565"/>
      <c r="T25" s="569"/>
      <c r="U25" s="570"/>
      <c r="V25" s="571"/>
      <c r="W25" s="572"/>
      <c r="X25" s="573"/>
      <c r="Y25" s="368"/>
    </row>
    <row r="26" spans="1:25" x14ac:dyDescent="0.15">
      <c r="A26" s="531"/>
      <c r="B26" s="532"/>
      <c r="C26" s="533"/>
      <c r="D26" s="534"/>
      <c r="E26" s="535"/>
      <c r="F26" s="536"/>
      <c r="G26" s="535"/>
      <c r="H26" s="537"/>
      <c r="I26" s="574"/>
      <c r="J26" s="538"/>
      <c r="K26" s="539"/>
      <c r="L26" s="540"/>
      <c r="M26" s="535"/>
      <c r="N26" s="528"/>
      <c r="O26" s="524"/>
      <c r="P26" s="575"/>
      <c r="Q26" s="538"/>
      <c r="R26" s="535"/>
      <c r="S26" s="540"/>
      <c r="T26" s="542"/>
      <c r="U26" s="542"/>
      <c r="V26" s="528"/>
      <c r="W26" s="529"/>
      <c r="X26" s="530"/>
      <c r="Y26" s="364"/>
    </row>
    <row r="27" spans="1:25" x14ac:dyDescent="0.15">
      <c r="A27" s="531"/>
      <c r="B27" s="532"/>
      <c r="C27" s="545"/>
      <c r="D27" s="546"/>
      <c r="E27" s="547"/>
      <c r="F27" s="548"/>
      <c r="G27" s="547"/>
      <c r="H27" s="549"/>
      <c r="I27" s="576"/>
      <c r="J27" s="577"/>
      <c r="K27" s="578"/>
      <c r="L27" s="540"/>
      <c r="M27" s="547"/>
      <c r="N27" s="528"/>
      <c r="O27" s="524"/>
      <c r="P27" s="575"/>
      <c r="Q27" s="580"/>
      <c r="R27" s="547"/>
      <c r="S27" s="540"/>
      <c r="T27" s="542"/>
      <c r="U27" s="542"/>
      <c r="V27" s="528"/>
      <c r="W27" s="529"/>
      <c r="X27" s="530"/>
      <c r="Y27" s="368"/>
    </row>
    <row r="28" spans="1:25" x14ac:dyDescent="0.15">
      <c r="A28" s="531"/>
      <c r="B28" s="532"/>
      <c r="C28" s="545"/>
      <c r="D28" s="546"/>
      <c r="E28" s="547"/>
      <c r="F28" s="548"/>
      <c r="G28" s="547"/>
      <c r="H28" s="549"/>
      <c r="I28" s="576"/>
      <c r="J28" s="577"/>
      <c r="K28" s="578"/>
      <c r="L28" s="540"/>
      <c r="M28" s="547"/>
      <c r="N28" s="528"/>
      <c r="O28" s="524"/>
      <c r="P28" s="575"/>
      <c r="Q28" s="580"/>
      <c r="R28" s="547"/>
      <c r="S28" s="540"/>
      <c r="T28" s="582"/>
      <c r="U28" s="582"/>
      <c r="V28" s="528"/>
      <c r="W28" s="529"/>
      <c r="X28" s="530"/>
      <c r="Y28" s="368"/>
    </row>
    <row r="29" spans="1:25" x14ac:dyDescent="0.15">
      <c r="A29" s="531"/>
      <c r="B29" s="532"/>
      <c r="C29" s="545"/>
      <c r="D29" s="546"/>
      <c r="E29" s="547"/>
      <c r="F29" s="548"/>
      <c r="G29" s="547"/>
      <c r="H29" s="549"/>
      <c r="I29" s="576"/>
      <c r="J29" s="577"/>
      <c r="K29" s="578"/>
      <c r="L29" s="540"/>
      <c r="M29" s="547"/>
      <c r="N29" s="528"/>
      <c r="O29" s="524"/>
      <c r="P29" s="575"/>
      <c r="Q29" s="555"/>
      <c r="R29" s="547"/>
      <c r="S29" s="540"/>
      <c r="T29" s="582"/>
      <c r="U29" s="582"/>
      <c r="V29" s="528"/>
      <c r="W29" s="529"/>
      <c r="X29" s="530"/>
      <c r="Y29" s="368"/>
    </row>
    <row r="30" spans="1:25" x14ac:dyDescent="0.15">
      <c r="A30" s="531"/>
      <c r="B30" s="532"/>
      <c r="C30" s="545"/>
      <c r="D30" s="546"/>
      <c r="E30" s="547"/>
      <c r="F30" s="548"/>
      <c r="G30" s="547"/>
      <c r="H30" s="549"/>
      <c r="I30" s="576"/>
      <c r="J30" s="555"/>
      <c r="K30" s="547"/>
      <c r="L30" s="556"/>
      <c r="M30" s="547"/>
      <c r="N30" s="528"/>
      <c r="O30" s="524"/>
      <c r="P30" s="575"/>
      <c r="Q30" s="577"/>
      <c r="R30" s="547"/>
      <c r="S30" s="556"/>
      <c r="T30" s="557"/>
      <c r="U30" s="557"/>
      <c r="V30" s="528"/>
      <c r="W30" s="529"/>
      <c r="X30" s="530"/>
      <c r="Y30" s="368"/>
    </row>
    <row r="31" spans="1:25" ht="13.5" customHeight="1" x14ac:dyDescent="0.15">
      <c r="A31" s="513" t="s">
        <v>281</v>
      </c>
      <c r="B31" s="514"/>
      <c r="C31" s="558"/>
      <c r="D31" s="559"/>
      <c r="E31" s="560"/>
      <c r="F31" s="560"/>
      <c r="G31" s="561"/>
      <c r="H31" s="562"/>
      <c r="I31" s="563"/>
      <c r="J31" s="366"/>
      <c r="K31" s="564"/>
      <c r="L31" s="565"/>
      <c r="M31" s="564"/>
      <c r="N31" s="571"/>
      <c r="O31" s="567"/>
      <c r="P31" s="568"/>
      <c r="Q31" s="366"/>
      <c r="R31" s="564"/>
      <c r="S31" s="565"/>
      <c r="T31" s="569"/>
      <c r="U31" s="570"/>
      <c r="V31" s="571"/>
      <c r="W31" s="572"/>
      <c r="X31" s="573"/>
      <c r="Y31" s="363"/>
    </row>
    <row r="32" spans="1:25" x14ac:dyDescent="0.15">
      <c r="A32" s="531"/>
      <c r="B32" s="532"/>
      <c r="C32" s="533"/>
      <c r="D32" s="534"/>
      <c r="E32" s="535"/>
      <c r="F32" s="536"/>
      <c r="G32" s="535"/>
      <c r="H32" s="537"/>
      <c r="I32" s="574"/>
      <c r="J32" s="538"/>
      <c r="K32" s="539"/>
      <c r="L32" s="540"/>
      <c r="M32" s="535"/>
      <c r="N32" s="528"/>
      <c r="O32" s="524"/>
      <c r="P32" s="575"/>
      <c r="Q32" s="538"/>
      <c r="R32" s="521"/>
      <c r="S32" s="540"/>
      <c r="T32" s="542"/>
      <c r="U32" s="542"/>
      <c r="V32" s="528"/>
      <c r="W32" s="529"/>
      <c r="X32" s="530"/>
      <c r="Y32" s="364"/>
    </row>
    <row r="33" spans="1:25" x14ac:dyDescent="0.15">
      <c r="A33" s="531"/>
      <c r="B33" s="532"/>
      <c r="C33" s="545"/>
      <c r="D33" s="546"/>
      <c r="E33" s="547"/>
      <c r="F33" s="548"/>
      <c r="G33" s="547"/>
      <c r="H33" s="549"/>
      <c r="I33" s="600"/>
      <c r="J33" s="577"/>
      <c r="K33" s="578"/>
      <c r="L33" s="540"/>
      <c r="M33" s="547"/>
      <c r="N33" s="528"/>
      <c r="O33" s="524"/>
      <c r="P33" s="575"/>
      <c r="Q33" s="580"/>
      <c r="R33" s="581"/>
      <c r="S33" s="540"/>
      <c r="T33" s="542"/>
      <c r="U33" s="542"/>
      <c r="V33" s="528"/>
      <c r="W33" s="529"/>
      <c r="X33" s="530"/>
      <c r="Y33" s="368"/>
    </row>
    <row r="34" spans="1:25" x14ac:dyDescent="0.15">
      <c r="A34" s="531"/>
      <c r="B34" s="532"/>
      <c r="C34" s="545"/>
      <c r="D34" s="546"/>
      <c r="E34" s="547"/>
      <c r="F34" s="548"/>
      <c r="G34" s="547"/>
      <c r="H34" s="549"/>
      <c r="I34" s="600"/>
      <c r="J34" s="577"/>
      <c r="K34" s="578"/>
      <c r="L34" s="540"/>
      <c r="M34" s="547"/>
      <c r="N34" s="528"/>
      <c r="O34" s="524"/>
      <c r="P34" s="575"/>
      <c r="Q34" s="580"/>
      <c r="R34" s="581"/>
      <c r="S34" s="540"/>
      <c r="T34" s="582"/>
      <c r="U34" s="582"/>
      <c r="V34" s="528"/>
      <c r="W34" s="529"/>
      <c r="X34" s="530"/>
      <c r="Y34" s="368"/>
    </row>
    <row r="35" spans="1:25" x14ac:dyDescent="0.15">
      <c r="A35" s="531"/>
      <c r="B35" s="532"/>
      <c r="C35" s="545"/>
      <c r="D35" s="546"/>
      <c r="E35" s="547"/>
      <c r="F35" s="548"/>
      <c r="G35" s="547"/>
      <c r="H35" s="549"/>
      <c r="I35" s="600"/>
      <c r="J35" s="577"/>
      <c r="K35" s="578"/>
      <c r="L35" s="540"/>
      <c r="M35" s="547"/>
      <c r="N35" s="528"/>
      <c r="O35" s="524"/>
      <c r="P35" s="575"/>
      <c r="Q35" s="555"/>
      <c r="R35" s="581"/>
      <c r="S35" s="540"/>
      <c r="T35" s="582"/>
      <c r="U35" s="582"/>
      <c r="V35" s="528"/>
      <c r="W35" s="529"/>
      <c r="X35" s="530"/>
      <c r="Y35" s="368"/>
    </row>
    <row r="36" spans="1:25" ht="11.25" thickBot="1" x14ac:dyDescent="0.2">
      <c r="A36" s="601"/>
      <c r="B36" s="602"/>
      <c r="C36" s="603"/>
      <c r="D36" s="604"/>
      <c r="E36" s="605"/>
      <c r="F36" s="606"/>
      <c r="G36" s="605"/>
      <c r="H36" s="607"/>
      <c r="I36" s="608"/>
      <c r="J36" s="609"/>
      <c r="K36" s="605"/>
      <c r="L36" s="610"/>
      <c r="M36" s="605"/>
      <c r="N36" s="611"/>
      <c r="O36" s="612"/>
      <c r="P36" s="613"/>
      <c r="Q36" s="614"/>
      <c r="R36" s="605"/>
      <c r="S36" s="610"/>
      <c r="T36" s="615"/>
      <c r="U36" s="615"/>
      <c r="V36" s="611"/>
      <c r="W36" s="616"/>
      <c r="X36" s="617"/>
      <c r="Y36" s="373"/>
    </row>
    <row r="38" spans="1:25" x14ac:dyDescent="0.15">
      <c r="J38" s="53" t="s">
        <v>282</v>
      </c>
    </row>
  </sheetData>
  <mergeCells count="42">
    <mergeCell ref="X31:X36"/>
    <mergeCell ref="A31:B36"/>
    <mergeCell ref="N31:N36"/>
    <mergeCell ref="O31:O36"/>
    <mergeCell ref="V31:V36"/>
    <mergeCell ref="W31:W36"/>
    <mergeCell ref="X25:X30"/>
    <mergeCell ref="A19:B24"/>
    <mergeCell ref="N19:N24"/>
    <mergeCell ref="O19:O24"/>
    <mergeCell ref="V19:V24"/>
    <mergeCell ref="W19:W24"/>
    <mergeCell ref="X19:X24"/>
    <mergeCell ref="A25:B30"/>
    <mergeCell ref="N25:N30"/>
    <mergeCell ref="O25:O30"/>
    <mergeCell ref="V25:V30"/>
    <mergeCell ref="W25:W30"/>
    <mergeCell ref="X13:X18"/>
    <mergeCell ref="A7:B12"/>
    <mergeCell ref="N7:N12"/>
    <mergeCell ref="O7:O12"/>
    <mergeCell ref="V7:V12"/>
    <mergeCell ref="W7:W12"/>
    <mergeCell ref="X7:X12"/>
    <mergeCell ref="A13:B18"/>
    <mergeCell ref="N13:N18"/>
    <mergeCell ref="O13:O18"/>
    <mergeCell ref="V13:V18"/>
    <mergeCell ref="W13:W18"/>
    <mergeCell ref="Y2:Y3"/>
    <mergeCell ref="X4:X6"/>
    <mergeCell ref="A2:B3"/>
    <mergeCell ref="E2:F2"/>
    <mergeCell ref="G2:H2"/>
    <mergeCell ref="I2:O2"/>
    <mergeCell ref="P2:X2"/>
    <mergeCell ref="A4:B6"/>
    <mergeCell ref="N4:N6"/>
    <mergeCell ref="O4:O6"/>
    <mergeCell ref="V4:V6"/>
    <mergeCell ref="W4:W6"/>
  </mergeCells>
  <phoneticPr fontId="4"/>
  <conditionalFormatting sqref="L4 L31 L25 L19 L13 L7">
    <cfRule type="cellIs" dxfId="5" priority="9" operator="greaterThan">
      <formula>F4</formula>
    </cfRule>
    <cfRule type="cellIs" dxfId="4" priority="11" operator="lessThan">
      <formula>MAX($F$4:$F$6)</formula>
    </cfRule>
    <cfRule type="cellIs" dxfId="3" priority="12" operator="lessThan">
      <formula>$F$4</formula>
    </cfRule>
  </conditionalFormatting>
  <conditionalFormatting sqref="S4 S31 S25 S19 S13 S7">
    <cfRule type="cellIs" dxfId="2" priority="10" operator="lessThan">
      <formula>L4</formula>
    </cfRule>
  </conditionalFormatting>
  <conditionalFormatting sqref="S4 S31 S25 S19 S13 S7">
    <cfRule type="cellIs" dxfId="1" priority="8" operator="greaterThanOrEqual">
      <formula>L4</formula>
    </cfRule>
  </conditionalFormatting>
  <conditionalFormatting sqref="L4 L31 L25 L19 L13 L7">
    <cfRule type="cellIs" dxfId="0" priority="7" operator="lessThan">
      <formula>F4</formula>
    </cfRule>
  </conditionalFormatting>
  <pageMargins left="0.7" right="0.7" top="0.75" bottom="0.75" header="0.3" footer="0.3"/>
  <pageSetup paperSize="8" orientation="landscape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86AA9-95B6-4449-9FD5-BA13567628B1}">
  <sheetPr>
    <pageSetUpPr fitToPage="1"/>
  </sheetPr>
  <dimension ref="A1:DQ92"/>
  <sheetViews>
    <sheetView view="pageBreakPreview" topLeftCell="C3" zoomScaleNormal="100" zoomScaleSheetLayoutView="100" zoomScalePageLayoutView="90" workbookViewId="0">
      <selection activeCell="C4" sqref="C1:C1048576"/>
    </sheetView>
  </sheetViews>
  <sheetFormatPr defaultColWidth="0.875" defaultRowHeight="13.5" x14ac:dyDescent="0.15"/>
  <cols>
    <col min="1" max="1" width="5.25" style="618" customWidth="1"/>
    <col min="2" max="2" width="2.375" style="618" customWidth="1"/>
    <col min="3" max="6" width="3.375" style="618" customWidth="1"/>
    <col min="7" max="20" width="3.625" style="618" customWidth="1"/>
    <col min="21" max="44" width="3.25" style="618" customWidth="1"/>
    <col min="45" max="45" width="5.625" style="618" customWidth="1"/>
    <col min="46" max="47" width="3.75" style="618" customWidth="1"/>
    <col min="48" max="49" width="3.625" style="618" customWidth="1"/>
    <col min="50" max="50" width="3.25" style="618" customWidth="1"/>
    <col min="51" max="57" width="3.75" style="618" customWidth="1"/>
    <col min="58" max="60" width="3.25" style="618" customWidth="1"/>
    <col min="61" max="61" width="1.5" style="618" customWidth="1"/>
    <col min="62" max="65" width="3.375" style="618" customWidth="1"/>
    <col min="66" max="79" width="3.625" style="618" customWidth="1"/>
    <col min="80" max="103" width="3.25" style="618" customWidth="1"/>
    <col min="104" max="104" width="5.625" style="618" customWidth="1"/>
    <col min="105" max="106" width="3.75" style="618" customWidth="1"/>
    <col min="107" max="108" width="3.625" style="618" customWidth="1"/>
    <col min="109" max="109" width="3.25" style="618" customWidth="1"/>
    <col min="110" max="116" width="3.75" style="618" customWidth="1"/>
    <col min="117" max="119" width="3.25" style="618" customWidth="1"/>
    <col min="120" max="120" width="3" style="618" customWidth="1"/>
    <col min="121" max="121" width="1.375" style="618" customWidth="1"/>
    <col min="122" max="16384" width="0.875" style="618"/>
  </cols>
  <sheetData>
    <row r="1" spans="1:121" ht="20.25" customHeight="1" thickBot="1" x14ac:dyDescent="0.2">
      <c r="B1" s="618">
        <v>1</v>
      </c>
      <c r="C1" s="618">
        <v>2</v>
      </c>
      <c r="D1" s="618">
        <v>3</v>
      </c>
      <c r="E1" s="618">
        <v>4</v>
      </c>
      <c r="F1" s="618">
        <v>5</v>
      </c>
      <c r="G1" s="618">
        <v>6</v>
      </c>
      <c r="H1" s="618">
        <v>7</v>
      </c>
      <c r="I1" s="618">
        <v>8</v>
      </c>
      <c r="J1" s="618">
        <v>9</v>
      </c>
      <c r="K1" s="618">
        <v>10</v>
      </c>
      <c r="L1" s="618">
        <v>11</v>
      </c>
      <c r="M1" s="618">
        <v>12</v>
      </c>
      <c r="N1" s="618">
        <v>13</v>
      </c>
      <c r="O1" s="618">
        <v>14</v>
      </c>
      <c r="P1" s="618">
        <v>15</v>
      </c>
      <c r="Q1" s="618">
        <v>16</v>
      </c>
      <c r="R1" s="618">
        <v>17</v>
      </c>
      <c r="S1" s="618">
        <v>18</v>
      </c>
      <c r="T1" s="618">
        <v>19</v>
      </c>
      <c r="U1" s="618">
        <v>20</v>
      </c>
      <c r="V1" s="618">
        <v>21</v>
      </c>
      <c r="W1" s="618">
        <v>22</v>
      </c>
      <c r="X1" s="618">
        <v>23</v>
      </c>
      <c r="Y1" s="618">
        <v>24</v>
      </c>
      <c r="Z1" s="618">
        <v>25</v>
      </c>
      <c r="AA1" s="618">
        <v>26</v>
      </c>
      <c r="AB1" s="618">
        <v>27</v>
      </c>
      <c r="AC1" s="618">
        <v>28</v>
      </c>
      <c r="AD1" s="618">
        <v>29</v>
      </c>
      <c r="AE1" s="618">
        <v>30</v>
      </c>
      <c r="AF1" s="618">
        <v>31</v>
      </c>
      <c r="AG1" s="618">
        <v>32</v>
      </c>
      <c r="AH1" s="618">
        <v>33</v>
      </c>
      <c r="AI1" s="618">
        <v>34</v>
      </c>
      <c r="AJ1" s="618">
        <v>35</v>
      </c>
      <c r="AK1" s="618">
        <v>36</v>
      </c>
      <c r="AL1" s="618">
        <v>37</v>
      </c>
      <c r="AM1" s="618">
        <v>38</v>
      </c>
      <c r="AN1" s="618">
        <v>39</v>
      </c>
      <c r="AO1" s="618">
        <v>40</v>
      </c>
      <c r="AP1" s="618">
        <v>41</v>
      </c>
      <c r="AQ1" s="618">
        <v>42</v>
      </c>
      <c r="AR1" s="618">
        <v>43</v>
      </c>
      <c r="AS1" s="618">
        <v>44</v>
      </c>
      <c r="AT1" s="618">
        <v>45</v>
      </c>
      <c r="AU1" s="618">
        <v>46</v>
      </c>
      <c r="AV1" s="618">
        <v>47</v>
      </c>
      <c r="AW1" s="618">
        <v>48</v>
      </c>
      <c r="AX1" s="618">
        <v>49</v>
      </c>
      <c r="AY1" s="618">
        <v>50</v>
      </c>
      <c r="AZ1" s="618">
        <v>51</v>
      </c>
      <c r="BA1" s="618">
        <v>52</v>
      </c>
      <c r="BB1" s="618">
        <v>53</v>
      </c>
      <c r="BC1" s="618">
        <v>54</v>
      </c>
      <c r="BD1" s="618">
        <v>55</v>
      </c>
      <c r="BE1" s="618">
        <v>56</v>
      </c>
      <c r="BF1" s="618">
        <v>57</v>
      </c>
      <c r="BG1" s="618">
        <v>58</v>
      </c>
      <c r="BH1" s="618">
        <v>59</v>
      </c>
      <c r="BI1" s="618">
        <v>60</v>
      </c>
      <c r="BJ1" s="618">
        <v>61</v>
      </c>
      <c r="BK1" s="618">
        <v>62</v>
      </c>
      <c r="BL1" s="618">
        <v>63</v>
      </c>
      <c r="BM1" s="618">
        <v>64</v>
      </c>
      <c r="BN1" s="618">
        <v>65</v>
      </c>
      <c r="BO1" s="618">
        <v>66</v>
      </c>
      <c r="BP1" s="618">
        <v>67</v>
      </c>
      <c r="BQ1" s="618">
        <v>68</v>
      </c>
      <c r="BR1" s="618">
        <v>69</v>
      </c>
      <c r="BS1" s="618">
        <v>70</v>
      </c>
      <c r="BT1" s="618">
        <v>71</v>
      </c>
      <c r="BU1" s="618">
        <v>72</v>
      </c>
      <c r="BV1" s="618">
        <v>73</v>
      </c>
      <c r="BW1" s="618">
        <v>74</v>
      </c>
      <c r="BX1" s="618">
        <v>75</v>
      </c>
      <c r="BY1" s="618">
        <v>76</v>
      </c>
      <c r="BZ1" s="618">
        <v>77</v>
      </c>
      <c r="CA1" s="618">
        <v>78</v>
      </c>
      <c r="CB1" s="618">
        <v>79</v>
      </c>
      <c r="CC1" s="618">
        <v>80</v>
      </c>
      <c r="CD1" s="618">
        <v>81</v>
      </c>
      <c r="CE1" s="618">
        <v>82</v>
      </c>
      <c r="CF1" s="618">
        <v>83</v>
      </c>
      <c r="CG1" s="618">
        <v>84</v>
      </c>
      <c r="CH1" s="618">
        <v>85</v>
      </c>
      <c r="CI1" s="618">
        <v>86</v>
      </c>
      <c r="CJ1" s="618">
        <v>87</v>
      </c>
      <c r="CK1" s="618">
        <v>88</v>
      </c>
      <c r="CL1" s="618">
        <v>89</v>
      </c>
      <c r="CM1" s="618">
        <v>90</v>
      </c>
      <c r="CN1" s="618">
        <v>91</v>
      </c>
      <c r="CO1" s="618">
        <v>92</v>
      </c>
      <c r="CP1" s="618">
        <v>93</v>
      </c>
      <c r="CQ1" s="618">
        <v>94</v>
      </c>
      <c r="CR1" s="618">
        <v>95</v>
      </c>
      <c r="CS1" s="618">
        <v>96</v>
      </c>
      <c r="CT1" s="618">
        <v>97</v>
      </c>
      <c r="CU1" s="618">
        <v>98</v>
      </c>
      <c r="CV1" s="618">
        <v>99</v>
      </c>
      <c r="CW1" s="619">
        <v>100</v>
      </c>
      <c r="CX1" s="619">
        <v>101</v>
      </c>
      <c r="CY1" s="619">
        <v>102</v>
      </c>
      <c r="CZ1" s="619">
        <v>103</v>
      </c>
      <c r="DA1" s="619">
        <v>104</v>
      </c>
      <c r="DB1" s="619">
        <v>105</v>
      </c>
      <c r="DC1" s="619">
        <v>106</v>
      </c>
      <c r="DD1" s="619">
        <v>107</v>
      </c>
      <c r="DE1" s="619">
        <v>108</v>
      </c>
      <c r="DF1" s="619">
        <v>109</v>
      </c>
      <c r="DG1" s="619">
        <v>110</v>
      </c>
      <c r="DH1" s="619">
        <v>111</v>
      </c>
      <c r="DI1" s="619">
        <v>112</v>
      </c>
      <c r="DJ1" s="619">
        <v>113</v>
      </c>
      <c r="DK1" s="619">
        <v>114</v>
      </c>
      <c r="DL1" s="619">
        <v>115</v>
      </c>
      <c r="DM1" s="619">
        <v>116</v>
      </c>
      <c r="DN1" s="619">
        <v>117</v>
      </c>
      <c r="DO1" s="619">
        <v>118</v>
      </c>
      <c r="DP1" s="619">
        <v>119</v>
      </c>
    </row>
    <row r="2" spans="1:121" ht="12" customHeight="1" x14ac:dyDescent="0.15">
      <c r="B2" s="620"/>
      <c r="C2" s="621"/>
      <c r="D2" s="621"/>
      <c r="E2" s="621"/>
      <c r="F2" s="621"/>
      <c r="G2" s="621"/>
      <c r="H2" s="621"/>
      <c r="I2" s="621"/>
      <c r="J2" s="621"/>
      <c r="K2" s="621"/>
      <c r="L2" s="621"/>
      <c r="M2" s="621"/>
      <c r="N2" s="621"/>
      <c r="O2" s="621"/>
      <c r="P2" s="621"/>
      <c r="Q2" s="621"/>
      <c r="R2" s="621"/>
      <c r="S2" s="621"/>
      <c r="T2" s="621"/>
      <c r="U2" s="621"/>
      <c r="V2" s="621"/>
      <c r="W2" s="621"/>
      <c r="X2" s="621"/>
      <c r="Y2" s="621"/>
      <c r="Z2" s="622"/>
      <c r="AA2" s="621"/>
      <c r="AB2" s="621"/>
      <c r="AC2" s="621"/>
      <c r="AD2" s="621"/>
      <c r="AE2" s="621"/>
      <c r="AF2" s="621"/>
      <c r="AG2" s="621"/>
      <c r="AH2" s="621"/>
      <c r="AI2" s="621"/>
      <c r="AJ2" s="621"/>
      <c r="AK2" s="623"/>
      <c r="AL2" s="621"/>
      <c r="AM2" s="621"/>
      <c r="AN2" s="621"/>
      <c r="AO2" s="621"/>
      <c r="AP2" s="621"/>
      <c r="AQ2" s="621"/>
      <c r="AR2" s="621"/>
      <c r="AS2" s="621"/>
      <c r="AT2" s="621"/>
      <c r="AU2" s="621"/>
      <c r="AV2" s="621"/>
      <c r="AW2" s="621"/>
      <c r="AX2" s="621"/>
      <c r="AY2" s="621"/>
      <c r="AZ2" s="621"/>
      <c r="BA2" s="621"/>
      <c r="BB2" s="621"/>
      <c r="BC2" s="621"/>
      <c r="BD2" s="621"/>
      <c r="BE2" s="621"/>
      <c r="BF2" s="621"/>
      <c r="BG2" s="621"/>
      <c r="BH2" s="621"/>
      <c r="BI2" s="621"/>
      <c r="BJ2" s="621"/>
      <c r="BK2" s="621"/>
      <c r="BL2" s="621"/>
      <c r="BM2" s="622"/>
      <c r="BN2" s="621"/>
      <c r="BO2" s="621"/>
      <c r="BP2" s="621"/>
      <c r="BQ2" s="621"/>
      <c r="BR2" s="621"/>
      <c r="BS2" s="621"/>
      <c r="BT2" s="621"/>
      <c r="BU2" s="621"/>
      <c r="BV2" s="621"/>
      <c r="BW2" s="621"/>
      <c r="BX2" s="621"/>
      <c r="BY2" s="621"/>
      <c r="BZ2" s="621"/>
      <c r="CA2" s="621"/>
      <c r="CB2" s="621"/>
      <c r="CC2" s="621"/>
      <c r="CD2" s="621"/>
      <c r="CE2" s="621"/>
      <c r="CF2" s="621"/>
      <c r="CG2" s="621"/>
      <c r="CH2" s="621"/>
      <c r="CI2" s="621"/>
      <c r="CJ2" s="621"/>
      <c r="CK2" s="621"/>
      <c r="CL2" s="621"/>
      <c r="CM2" s="621"/>
      <c r="CN2" s="621"/>
      <c r="CO2" s="621"/>
      <c r="CP2" s="621"/>
      <c r="CQ2" s="621"/>
      <c r="CR2" s="621"/>
      <c r="CS2" s="621"/>
      <c r="CT2" s="621"/>
      <c r="CU2" s="621"/>
      <c r="CV2" s="621"/>
      <c r="CW2" s="621"/>
      <c r="CX2" s="621"/>
      <c r="CY2" s="621"/>
      <c r="CZ2" s="621"/>
      <c r="DA2" s="621"/>
      <c r="DB2" s="621"/>
      <c r="DC2" s="621"/>
      <c r="DD2" s="621"/>
      <c r="DE2" s="621"/>
      <c r="DF2" s="621"/>
      <c r="DG2" s="621"/>
      <c r="DH2" s="621"/>
      <c r="DI2" s="621"/>
      <c r="DJ2" s="621"/>
      <c r="DK2" s="621"/>
      <c r="DL2" s="621"/>
      <c r="DM2" s="621"/>
      <c r="DN2" s="621"/>
      <c r="DO2" s="621"/>
      <c r="DP2" s="624"/>
      <c r="DQ2" s="625"/>
    </row>
    <row r="3" spans="1:121" ht="21.75" customHeight="1" x14ac:dyDescent="0.15">
      <c r="B3" s="626"/>
      <c r="C3" s="627" t="s">
        <v>546</v>
      </c>
      <c r="D3" s="628"/>
      <c r="E3" s="628"/>
      <c r="F3" s="629"/>
      <c r="G3" s="630"/>
      <c r="H3" s="630"/>
      <c r="I3" s="630"/>
      <c r="J3" s="630"/>
      <c r="K3" s="630"/>
      <c r="L3" s="630"/>
      <c r="M3" s="630"/>
      <c r="N3" s="630"/>
      <c r="O3" s="630"/>
      <c r="P3" s="630"/>
      <c r="Q3" s="630"/>
      <c r="R3" s="630"/>
      <c r="S3" s="630"/>
      <c r="T3" s="630"/>
      <c r="U3" s="630"/>
      <c r="V3" s="630"/>
      <c r="W3" s="630"/>
      <c r="X3" s="630"/>
      <c r="Y3" s="630"/>
      <c r="Z3" s="631"/>
      <c r="AA3" s="630"/>
      <c r="AB3" s="630"/>
      <c r="AC3" s="630"/>
      <c r="AD3" s="630"/>
      <c r="AE3" s="630"/>
      <c r="AF3" s="630"/>
      <c r="AG3" s="630"/>
      <c r="AH3" s="630"/>
      <c r="AI3" s="630"/>
      <c r="AJ3" s="630"/>
      <c r="AK3" s="630"/>
      <c r="AL3" s="632"/>
      <c r="AM3" s="630"/>
      <c r="AN3" s="630"/>
      <c r="AO3" s="630"/>
      <c r="AP3" s="630"/>
      <c r="AQ3" s="630"/>
      <c r="AR3" s="630"/>
      <c r="AS3" s="630"/>
      <c r="AT3" s="630"/>
      <c r="AU3" s="630"/>
      <c r="AV3" s="630"/>
      <c r="AW3" s="630"/>
      <c r="AX3" s="630"/>
      <c r="AY3" s="630"/>
      <c r="AZ3" s="630"/>
      <c r="BA3" s="630"/>
      <c r="BB3" s="630"/>
      <c r="BC3" s="630"/>
      <c r="BD3" s="630"/>
      <c r="BE3" s="630"/>
      <c r="BF3" s="630"/>
      <c r="BG3" s="630"/>
      <c r="BH3" s="630"/>
      <c r="BI3" s="630"/>
      <c r="BJ3" s="630"/>
      <c r="BK3" s="630"/>
      <c r="BL3" s="630"/>
      <c r="BM3" s="630"/>
      <c r="BN3" s="630"/>
      <c r="BO3" s="630"/>
      <c r="BP3" s="630"/>
      <c r="BQ3" s="630"/>
      <c r="BR3" s="630"/>
      <c r="BS3" s="630"/>
      <c r="BT3" s="630"/>
      <c r="BU3" s="630"/>
      <c r="BV3" s="630"/>
      <c r="BW3" s="630"/>
      <c r="BX3" s="630"/>
      <c r="BY3" s="630"/>
      <c r="BZ3" s="630"/>
      <c r="CA3" s="630"/>
      <c r="CB3" s="630"/>
      <c r="CC3" s="630"/>
      <c r="CD3" s="630"/>
      <c r="CE3" s="630"/>
      <c r="CF3" s="630"/>
      <c r="CG3" s="631"/>
      <c r="CH3" s="630"/>
      <c r="CI3" s="630"/>
      <c r="CJ3" s="630"/>
      <c r="CK3" s="630"/>
      <c r="CL3" s="630"/>
      <c r="CM3" s="630"/>
      <c r="CN3" s="630"/>
      <c r="CO3" s="630"/>
      <c r="CP3" s="630"/>
      <c r="CQ3" s="630"/>
      <c r="CR3" s="630"/>
      <c r="CS3" s="630"/>
      <c r="CT3" s="630"/>
      <c r="CU3" s="632"/>
      <c r="CV3" s="630"/>
      <c r="CW3" s="630"/>
      <c r="CX3" s="630"/>
      <c r="CY3" s="630"/>
      <c r="CZ3" s="630"/>
      <c r="DA3" s="630"/>
      <c r="DB3" s="630"/>
      <c r="DC3" s="630"/>
      <c r="DD3" s="630"/>
      <c r="DE3" s="630"/>
      <c r="DF3" s="630"/>
      <c r="DG3" s="630"/>
      <c r="DH3" s="630"/>
      <c r="DI3" s="630"/>
      <c r="DJ3" s="630"/>
      <c r="DK3" s="630"/>
      <c r="DL3" s="630"/>
      <c r="DM3" s="630"/>
      <c r="DN3" s="630"/>
      <c r="DO3" s="630"/>
      <c r="DP3" s="633"/>
      <c r="DQ3" s="634"/>
    </row>
    <row r="4" spans="1:121" ht="6.6" customHeight="1" x14ac:dyDescent="0.15">
      <c r="B4" s="626"/>
      <c r="C4" s="630"/>
      <c r="D4" s="630"/>
      <c r="E4" s="630"/>
      <c r="F4" s="630"/>
      <c r="G4" s="630"/>
      <c r="H4" s="630"/>
      <c r="I4" s="630"/>
      <c r="J4" s="630"/>
      <c r="K4" s="630"/>
      <c r="L4" s="630"/>
      <c r="M4" s="630"/>
      <c r="N4" s="630"/>
      <c r="O4" s="630"/>
      <c r="P4" s="630"/>
      <c r="Q4" s="630"/>
      <c r="R4" s="630"/>
      <c r="S4" s="630"/>
      <c r="T4" s="630"/>
      <c r="U4" s="630"/>
      <c r="V4" s="630"/>
      <c r="W4" s="630"/>
      <c r="X4" s="630"/>
      <c r="Y4" s="630"/>
      <c r="Z4" s="631"/>
      <c r="AA4" s="630"/>
      <c r="AB4" s="630"/>
      <c r="AC4" s="630"/>
      <c r="AD4" s="630"/>
      <c r="AE4" s="630"/>
      <c r="AF4" s="630"/>
      <c r="AG4" s="630"/>
      <c r="AH4" s="630"/>
      <c r="AI4" s="630"/>
      <c r="AJ4" s="630"/>
      <c r="AK4" s="630"/>
      <c r="AL4" s="630"/>
      <c r="AM4" s="630"/>
      <c r="AN4" s="630"/>
      <c r="AO4" s="630"/>
      <c r="AP4" s="630"/>
      <c r="AQ4" s="630"/>
      <c r="AR4" s="630"/>
      <c r="AS4" s="630"/>
      <c r="AT4" s="632"/>
      <c r="AU4" s="630"/>
      <c r="AV4" s="630"/>
      <c r="AW4" s="630"/>
      <c r="AX4" s="630"/>
      <c r="AY4" s="630"/>
      <c r="AZ4" s="630"/>
      <c r="BA4" s="630"/>
      <c r="BB4" s="630"/>
      <c r="BC4" s="630"/>
      <c r="BD4" s="630"/>
      <c r="BE4" s="630"/>
      <c r="BF4" s="630"/>
      <c r="BG4" s="630"/>
      <c r="BH4" s="630"/>
      <c r="BI4" s="630"/>
      <c r="BJ4" s="630"/>
      <c r="BK4" s="630"/>
      <c r="BL4" s="630"/>
      <c r="BM4" s="630"/>
      <c r="BN4" s="630"/>
      <c r="BO4" s="630"/>
      <c r="BP4" s="630"/>
      <c r="BQ4" s="630"/>
      <c r="BR4" s="630"/>
      <c r="BS4" s="630"/>
      <c r="BT4" s="630"/>
      <c r="BU4" s="630"/>
      <c r="BV4" s="630"/>
      <c r="BW4" s="630"/>
      <c r="BX4" s="630"/>
      <c r="BY4" s="630"/>
      <c r="BZ4" s="630"/>
      <c r="CA4" s="630"/>
      <c r="CB4" s="630"/>
      <c r="CC4" s="630"/>
      <c r="CD4" s="630"/>
      <c r="CE4" s="630"/>
      <c r="CF4" s="630"/>
      <c r="CG4" s="631"/>
      <c r="CH4" s="630"/>
      <c r="CI4" s="630"/>
      <c r="CJ4" s="630"/>
      <c r="CK4" s="630"/>
      <c r="CL4" s="630"/>
      <c r="CM4" s="630"/>
      <c r="CN4" s="630"/>
      <c r="CO4" s="630"/>
      <c r="CP4" s="630"/>
      <c r="CQ4" s="630"/>
      <c r="CR4" s="630"/>
      <c r="CS4" s="630"/>
      <c r="CT4" s="630"/>
      <c r="CU4" s="632"/>
      <c r="CV4" s="630"/>
      <c r="CW4" s="630"/>
      <c r="CX4" s="630"/>
      <c r="CY4" s="630"/>
      <c r="CZ4" s="630"/>
      <c r="DA4" s="630"/>
      <c r="DB4" s="630"/>
      <c r="DC4" s="630"/>
      <c r="DD4" s="630"/>
      <c r="DE4" s="630"/>
      <c r="DF4" s="630"/>
      <c r="DG4" s="630"/>
      <c r="DH4" s="630"/>
      <c r="DI4" s="630"/>
      <c r="DJ4" s="630"/>
      <c r="DK4" s="630"/>
      <c r="DL4" s="630"/>
      <c r="DM4" s="630"/>
      <c r="DN4" s="630"/>
      <c r="DO4" s="630"/>
      <c r="DP4" s="633"/>
      <c r="DQ4" s="634"/>
    </row>
    <row r="5" spans="1:121" ht="21" customHeight="1" x14ac:dyDescent="0.15">
      <c r="B5" s="635"/>
      <c r="C5" s="636" t="s">
        <v>547</v>
      </c>
      <c r="D5" s="637"/>
      <c r="E5" s="637"/>
      <c r="F5" s="637"/>
      <c r="G5" s="638" t="s">
        <v>548</v>
      </c>
      <c r="H5" s="639"/>
      <c r="I5" s="639"/>
      <c r="J5" s="639"/>
      <c r="K5" s="639"/>
      <c r="L5" s="639"/>
      <c r="M5" s="639"/>
      <c r="N5" s="640"/>
      <c r="O5" s="636" t="s">
        <v>549</v>
      </c>
      <c r="P5" s="637"/>
      <c r="Q5" s="637"/>
      <c r="R5" s="637"/>
      <c r="S5" s="637"/>
      <c r="T5" s="641"/>
      <c r="U5" s="638" t="s">
        <v>550</v>
      </c>
      <c r="V5" s="639"/>
      <c r="W5" s="639"/>
      <c r="X5" s="639"/>
      <c r="Y5" s="639"/>
      <c r="Z5" s="639"/>
      <c r="AA5" s="639"/>
      <c r="AB5" s="639"/>
      <c r="AC5" s="639"/>
      <c r="AD5" s="639"/>
      <c r="AE5" s="639"/>
      <c r="AF5" s="639"/>
      <c r="AG5" s="639"/>
      <c r="AH5" s="639"/>
      <c r="AI5" s="639"/>
      <c r="AJ5" s="639"/>
      <c r="AK5" s="639"/>
      <c r="AL5" s="639"/>
      <c r="AM5" s="639"/>
      <c r="AN5" s="639"/>
      <c r="AO5" s="639"/>
      <c r="AP5" s="639"/>
      <c r="AQ5" s="639"/>
      <c r="AR5" s="640"/>
      <c r="AS5" s="637" t="s">
        <v>551</v>
      </c>
      <c r="AT5" s="637"/>
      <c r="AU5" s="637"/>
      <c r="AV5" s="637"/>
      <c r="AW5" s="637"/>
      <c r="AX5" s="637"/>
      <c r="AY5" s="636" t="s">
        <v>552</v>
      </c>
      <c r="AZ5" s="641"/>
      <c r="BA5" s="638" t="s">
        <v>553</v>
      </c>
      <c r="BB5" s="639"/>
      <c r="BC5" s="639"/>
      <c r="BD5" s="639"/>
      <c r="BE5" s="639"/>
      <c r="BF5" s="639"/>
      <c r="BG5" s="639"/>
      <c r="BH5" s="640"/>
      <c r="BI5" s="630"/>
      <c r="BJ5" s="636" t="s">
        <v>547</v>
      </c>
      <c r="BK5" s="637"/>
      <c r="BL5" s="637"/>
      <c r="BM5" s="637"/>
      <c r="BN5" s="638" t="s">
        <v>548</v>
      </c>
      <c r="BO5" s="639"/>
      <c r="BP5" s="639"/>
      <c r="BQ5" s="639"/>
      <c r="BR5" s="639"/>
      <c r="BS5" s="639"/>
      <c r="BT5" s="639"/>
      <c r="BU5" s="640"/>
      <c r="BV5" s="636" t="s">
        <v>549</v>
      </c>
      <c r="BW5" s="637"/>
      <c r="BX5" s="637"/>
      <c r="BY5" s="637"/>
      <c r="BZ5" s="637"/>
      <c r="CA5" s="641"/>
      <c r="CB5" s="638" t="s">
        <v>550</v>
      </c>
      <c r="CC5" s="639"/>
      <c r="CD5" s="639"/>
      <c r="CE5" s="639"/>
      <c r="CF5" s="639"/>
      <c r="CG5" s="639"/>
      <c r="CH5" s="639"/>
      <c r="CI5" s="639"/>
      <c r="CJ5" s="639"/>
      <c r="CK5" s="639"/>
      <c r="CL5" s="639"/>
      <c r="CM5" s="639"/>
      <c r="CN5" s="639"/>
      <c r="CO5" s="639"/>
      <c r="CP5" s="639"/>
      <c r="CQ5" s="639"/>
      <c r="CR5" s="639"/>
      <c r="CS5" s="639"/>
      <c r="CT5" s="639"/>
      <c r="CU5" s="639"/>
      <c r="CV5" s="639"/>
      <c r="CW5" s="639"/>
      <c r="CX5" s="639"/>
      <c r="CY5" s="640"/>
      <c r="CZ5" s="637" t="s">
        <v>551</v>
      </c>
      <c r="DA5" s="637"/>
      <c r="DB5" s="637"/>
      <c r="DC5" s="637"/>
      <c r="DD5" s="637"/>
      <c r="DE5" s="637"/>
      <c r="DF5" s="636" t="s">
        <v>552</v>
      </c>
      <c r="DG5" s="641"/>
      <c r="DH5" s="638" t="s">
        <v>553</v>
      </c>
      <c r="DI5" s="639"/>
      <c r="DJ5" s="639"/>
      <c r="DK5" s="639"/>
      <c r="DL5" s="639"/>
      <c r="DM5" s="639"/>
      <c r="DN5" s="639"/>
      <c r="DO5" s="640"/>
      <c r="DP5" s="633"/>
      <c r="DQ5" s="634"/>
    </row>
    <row r="6" spans="1:121" ht="21" customHeight="1" x14ac:dyDescent="0.15">
      <c r="B6" s="635"/>
      <c r="C6" s="642"/>
      <c r="D6" s="643"/>
      <c r="E6" s="643"/>
      <c r="F6" s="643"/>
      <c r="G6" s="644"/>
      <c r="H6" s="645"/>
      <c r="I6" s="645"/>
      <c r="J6" s="645"/>
      <c r="K6" s="645"/>
      <c r="L6" s="645"/>
      <c r="M6" s="645"/>
      <c r="N6" s="646"/>
      <c r="O6" s="642"/>
      <c r="P6" s="643"/>
      <c r="Q6" s="643"/>
      <c r="R6" s="643"/>
      <c r="S6" s="643"/>
      <c r="T6" s="647"/>
      <c r="U6" s="644"/>
      <c r="V6" s="645"/>
      <c r="W6" s="645"/>
      <c r="X6" s="645"/>
      <c r="Y6" s="645"/>
      <c r="Z6" s="645"/>
      <c r="AA6" s="645"/>
      <c r="AB6" s="645"/>
      <c r="AC6" s="645"/>
      <c r="AD6" s="645"/>
      <c r="AE6" s="645"/>
      <c r="AF6" s="645"/>
      <c r="AG6" s="645"/>
      <c r="AH6" s="645"/>
      <c r="AI6" s="645"/>
      <c r="AJ6" s="645"/>
      <c r="AK6" s="645"/>
      <c r="AL6" s="645"/>
      <c r="AM6" s="645"/>
      <c r="AN6" s="645"/>
      <c r="AO6" s="645"/>
      <c r="AP6" s="645"/>
      <c r="AQ6" s="645"/>
      <c r="AR6" s="646"/>
      <c r="AS6" s="648" t="s">
        <v>554</v>
      </c>
      <c r="AT6" s="649" t="s">
        <v>555</v>
      </c>
      <c r="AU6" s="650"/>
      <c r="AV6" s="651" t="s">
        <v>556</v>
      </c>
      <c r="AW6" s="651"/>
      <c r="AX6" s="651"/>
      <c r="AY6" s="642"/>
      <c r="AZ6" s="647"/>
      <c r="BA6" s="644"/>
      <c r="BB6" s="645"/>
      <c r="BC6" s="645"/>
      <c r="BD6" s="645"/>
      <c r="BE6" s="645"/>
      <c r="BF6" s="645"/>
      <c r="BG6" s="645"/>
      <c r="BH6" s="646"/>
      <c r="BI6" s="630"/>
      <c r="BJ6" s="642"/>
      <c r="BK6" s="643"/>
      <c r="BL6" s="643"/>
      <c r="BM6" s="643"/>
      <c r="BN6" s="644"/>
      <c r="BO6" s="645"/>
      <c r="BP6" s="645"/>
      <c r="BQ6" s="645"/>
      <c r="BR6" s="645"/>
      <c r="BS6" s="645"/>
      <c r="BT6" s="645"/>
      <c r="BU6" s="646"/>
      <c r="BV6" s="642"/>
      <c r="BW6" s="643"/>
      <c r="BX6" s="643"/>
      <c r="BY6" s="643"/>
      <c r="BZ6" s="643"/>
      <c r="CA6" s="647"/>
      <c r="CB6" s="644"/>
      <c r="CC6" s="645"/>
      <c r="CD6" s="645"/>
      <c r="CE6" s="645"/>
      <c r="CF6" s="645"/>
      <c r="CG6" s="645"/>
      <c r="CH6" s="645"/>
      <c r="CI6" s="645"/>
      <c r="CJ6" s="645"/>
      <c r="CK6" s="645"/>
      <c r="CL6" s="645"/>
      <c r="CM6" s="645"/>
      <c r="CN6" s="645"/>
      <c r="CO6" s="645"/>
      <c r="CP6" s="645"/>
      <c r="CQ6" s="645"/>
      <c r="CR6" s="645"/>
      <c r="CS6" s="645"/>
      <c r="CT6" s="645"/>
      <c r="CU6" s="645"/>
      <c r="CV6" s="645"/>
      <c r="CW6" s="645"/>
      <c r="CX6" s="645"/>
      <c r="CY6" s="646"/>
      <c r="CZ6" s="648" t="s">
        <v>554</v>
      </c>
      <c r="DA6" s="649" t="s">
        <v>555</v>
      </c>
      <c r="DB6" s="650"/>
      <c r="DC6" s="651" t="s">
        <v>556</v>
      </c>
      <c r="DD6" s="651"/>
      <c r="DE6" s="651"/>
      <c r="DF6" s="642"/>
      <c r="DG6" s="647"/>
      <c r="DH6" s="644"/>
      <c r="DI6" s="645"/>
      <c r="DJ6" s="645"/>
      <c r="DK6" s="645"/>
      <c r="DL6" s="645"/>
      <c r="DM6" s="645"/>
      <c r="DN6" s="645"/>
      <c r="DO6" s="646"/>
      <c r="DP6" s="633"/>
      <c r="DQ6" s="634"/>
    </row>
    <row r="7" spans="1:121" ht="21" customHeight="1" x14ac:dyDescent="0.15">
      <c r="A7" s="652">
        <f t="shared" ref="A7:A70" si="0">ROUNDUP(MOD(ROW()-6,71)/1,0)</f>
        <v>1</v>
      </c>
      <c r="B7" s="626"/>
      <c r="C7" s="653"/>
      <c r="D7" s="654"/>
      <c r="E7" s="654"/>
      <c r="F7" s="654"/>
      <c r="G7" s="655"/>
      <c r="H7" s="656"/>
      <c r="I7" s="656"/>
      <c r="J7" s="656"/>
      <c r="K7" s="656"/>
      <c r="L7" s="656"/>
      <c r="M7" s="656"/>
      <c r="N7" s="657"/>
      <c r="O7" s="658"/>
      <c r="P7" s="659"/>
      <c r="Q7" s="660"/>
      <c r="R7" s="661"/>
      <c r="S7" s="661"/>
      <c r="T7" s="662"/>
      <c r="U7" s="656"/>
      <c r="V7" s="656"/>
      <c r="W7" s="656"/>
      <c r="X7" s="656"/>
      <c r="Y7" s="656"/>
      <c r="Z7" s="656"/>
      <c r="AA7" s="656"/>
      <c r="AB7" s="656"/>
      <c r="AC7" s="656"/>
      <c r="AD7" s="656"/>
      <c r="AE7" s="656"/>
      <c r="AF7" s="656"/>
      <c r="AG7" s="656"/>
      <c r="AH7" s="656"/>
      <c r="AI7" s="656"/>
      <c r="AJ7" s="656"/>
      <c r="AK7" s="656"/>
      <c r="AL7" s="656"/>
      <c r="AM7" s="656"/>
      <c r="AN7" s="656"/>
      <c r="AO7" s="656"/>
      <c r="AP7" s="656"/>
      <c r="AQ7" s="656"/>
      <c r="AR7" s="663"/>
      <c r="AS7" s="664"/>
      <c r="AT7" s="665"/>
      <c r="AU7" s="666"/>
      <c r="AV7" s="667"/>
      <c r="AW7" s="667"/>
      <c r="AX7" s="667"/>
      <c r="AY7" s="653"/>
      <c r="AZ7" s="668"/>
      <c r="BA7" s="655"/>
      <c r="BB7" s="656"/>
      <c r="BC7" s="656"/>
      <c r="BD7" s="656"/>
      <c r="BE7" s="656"/>
      <c r="BF7" s="656"/>
      <c r="BG7" s="656"/>
      <c r="BH7" s="657"/>
      <c r="BI7" s="630"/>
      <c r="BJ7" s="653"/>
      <c r="BK7" s="654"/>
      <c r="BL7" s="654"/>
      <c r="BM7" s="654"/>
      <c r="BN7" s="655"/>
      <c r="BO7" s="656"/>
      <c r="BP7" s="656"/>
      <c r="BQ7" s="656"/>
      <c r="BR7" s="656"/>
      <c r="BS7" s="656"/>
      <c r="BT7" s="656"/>
      <c r="BU7" s="657"/>
      <c r="BV7" s="658"/>
      <c r="BW7" s="659"/>
      <c r="BX7" s="660"/>
      <c r="BY7" s="661"/>
      <c r="BZ7" s="661"/>
      <c r="CA7" s="662"/>
      <c r="CB7" s="656"/>
      <c r="CC7" s="656"/>
      <c r="CD7" s="656"/>
      <c r="CE7" s="656"/>
      <c r="CF7" s="656"/>
      <c r="CG7" s="656"/>
      <c r="CH7" s="656"/>
      <c r="CI7" s="656"/>
      <c r="CJ7" s="656"/>
      <c r="CK7" s="656"/>
      <c r="CL7" s="656"/>
      <c r="CM7" s="656"/>
      <c r="CN7" s="656"/>
      <c r="CO7" s="656"/>
      <c r="CP7" s="656"/>
      <c r="CQ7" s="656"/>
      <c r="CR7" s="656"/>
      <c r="CS7" s="656"/>
      <c r="CT7" s="656"/>
      <c r="CU7" s="656"/>
      <c r="CV7" s="656"/>
      <c r="CW7" s="656"/>
      <c r="CX7" s="656"/>
      <c r="CY7" s="663"/>
      <c r="CZ7" s="669"/>
      <c r="DA7" s="665"/>
      <c r="DB7" s="666"/>
      <c r="DC7" s="667"/>
      <c r="DD7" s="667"/>
      <c r="DE7" s="667"/>
      <c r="DF7" s="653"/>
      <c r="DG7" s="668"/>
      <c r="DH7" s="655"/>
      <c r="DI7" s="656"/>
      <c r="DJ7" s="656"/>
      <c r="DK7" s="656"/>
      <c r="DL7" s="656"/>
      <c r="DM7" s="656"/>
      <c r="DN7" s="656"/>
      <c r="DO7" s="657"/>
      <c r="DP7" s="633"/>
      <c r="DQ7" s="634"/>
    </row>
    <row r="8" spans="1:121" ht="21" customHeight="1" x14ac:dyDescent="0.15">
      <c r="A8" s="652">
        <f t="shared" si="0"/>
        <v>2</v>
      </c>
      <c r="B8" s="626"/>
      <c r="C8" s="653"/>
      <c r="D8" s="654"/>
      <c r="E8" s="654"/>
      <c r="F8" s="654"/>
      <c r="G8" s="655"/>
      <c r="H8" s="656"/>
      <c r="I8" s="656"/>
      <c r="J8" s="656"/>
      <c r="K8" s="656"/>
      <c r="L8" s="656"/>
      <c r="M8" s="656"/>
      <c r="N8" s="657"/>
      <c r="O8" s="658"/>
      <c r="P8" s="659"/>
      <c r="Q8" s="656"/>
      <c r="R8" s="656"/>
      <c r="S8" s="656"/>
      <c r="T8" s="657"/>
      <c r="U8" s="656"/>
      <c r="V8" s="656"/>
      <c r="W8" s="656"/>
      <c r="X8" s="656"/>
      <c r="Y8" s="656"/>
      <c r="Z8" s="656"/>
      <c r="AA8" s="656"/>
      <c r="AB8" s="656"/>
      <c r="AC8" s="656"/>
      <c r="AD8" s="656"/>
      <c r="AE8" s="656"/>
      <c r="AF8" s="656"/>
      <c r="AG8" s="656"/>
      <c r="AH8" s="656"/>
      <c r="AI8" s="656"/>
      <c r="AJ8" s="656"/>
      <c r="AK8" s="656"/>
      <c r="AL8" s="656"/>
      <c r="AM8" s="656"/>
      <c r="AN8" s="656"/>
      <c r="AO8" s="656"/>
      <c r="AP8" s="656"/>
      <c r="AQ8" s="656"/>
      <c r="AR8" s="663"/>
      <c r="AS8" s="669"/>
      <c r="AT8" s="665"/>
      <c r="AU8" s="666"/>
      <c r="AV8" s="667"/>
      <c r="AW8" s="667"/>
      <c r="AX8" s="667"/>
      <c r="AY8" s="653"/>
      <c r="AZ8" s="668"/>
      <c r="BA8" s="655"/>
      <c r="BB8" s="656"/>
      <c r="BC8" s="656"/>
      <c r="BD8" s="656"/>
      <c r="BE8" s="656"/>
      <c r="BF8" s="656"/>
      <c r="BG8" s="656"/>
      <c r="BH8" s="657"/>
      <c r="BI8" s="630"/>
      <c r="BJ8" s="653"/>
      <c r="BK8" s="654"/>
      <c r="BL8" s="654"/>
      <c r="BM8" s="654"/>
      <c r="BN8" s="655"/>
      <c r="BO8" s="656"/>
      <c r="BP8" s="656"/>
      <c r="BQ8" s="656"/>
      <c r="BR8" s="656"/>
      <c r="BS8" s="656"/>
      <c r="BT8" s="656"/>
      <c r="BU8" s="657"/>
      <c r="BV8" s="658"/>
      <c r="BW8" s="659"/>
      <c r="BX8" s="656"/>
      <c r="BY8" s="656"/>
      <c r="BZ8" s="656"/>
      <c r="CA8" s="657"/>
      <c r="CB8" s="656"/>
      <c r="CC8" s="656"/>
      <c r="CD8" s="656"/>
      <c r="CE8" s="656"/>
      <c r="CF8" s="656"/>
      <c r="CG8" s="656"/>
      <c r="CH8" s="656"/>
      <c r="CI8" s="656"/>
      <c r="CJ8" s="656"/>
      <c r="CK8" s="656"/>
      <c r="CL8" s="656"/>
      <c r="CM8" s="656"/>
      <c r="CN8" s="656"/>
      <c r="CO8" s="656"/>
      <c r="CP8" s="656"/>
      <c r="CQ8" s="656"/>
      <c r="CR8" s="656"/>
      <c r="CS8" s="656"/>
      <c r="CT8" s="656"/>
      <c r="CU8" s="656"/>
      <c r="CV8" s="656"/>
      <c r="CW8" s="656"/>
      <c r="CX8" s="656"/>
      <c r="CY8" s="663"/>
      <c r="CZ8" s="669"/>
      <c r="DA8" s="665"/>
      <c r="DB8" s="666"/>
      <c r="DC8" s="667"/>
      <c r="DD8" s="667"/>
      <c r="DE8" s="667"/>
      <c r="DF8" s="653"/>
      <c r="DG8" s="668"/>
      <c r="DH8" s="655"/>
      <c r="DI8" s="656"/>
      <c r="DJ8" s="656"/>
      <c r="DK8" s="656"/>
      <c r="DL8" s="656"/>
      <c r="DM8" s="656"/>
      <c r="DN8" s="656"/>
      <c r="DO8" s="657"/>
      <c r="DP8" s="633"/>
      <c r="DQ8" s="634"/>
    </row>
    <row r="9" spans="1:121" ht="21" customHeight="1" x14ac:dyDescent="0.15">
      <c r="A9" s="652">
        <f t="shared" si="0"/>
        <v>3</v>
      </c>
      <c r="B9" s="626"/>
      <c r="C9" s="653"/>
      <c r="D9" s="654"/>
      <c r="E9" s="654"/>
      <c r="F9" s="654"/>
      <c r="G9" s="655"/>
      <c r="H9" s="656"/>
      <c r="I9" s="656"/>
      <c r="J9" s="656"/>
      <c r="K9" s="656"/>
      <c r="L9" s="656"/>
      <c r="M9" s="656"/>
      <c r="N9" s="657"/>
      <c r="O9" s="658"/>
      <c r="P9" s="659"/>
      <c r="Q9" s="656"/>
      <c r="R9" s="656"/>
      <c r="S9" s="656"/>
      <c r="T9" s="657"/>
      <c r="U9" s="656"/>
      <c r="V9" s="656"/>
      <c r="W9" s="656"/>
      <c r="X9" s="656"/>
      <c r="Y9" s="656"/>
      <c r="Z9" s="670"/>
      <c r="AA9" s="670"/>
      <c r="AB9" s="671"/>
      <c r="AC9" s="672"/>
      <c r="AD9" s="656"/>
      <c r="AE9" s="656"/>
      <c r="AF9" s="673"/>
      <c r="AG9" s="673"/>
      <c r="AH9" s="674"/>
      <c r="AI9" s="674"/>
      <c r="AJ9" s="663"/>
      <c r="AK9" s="672"/>
      <c r="AL9" s="663"/>
      <c r="AM9" s="672"/>
      <c r="AN9" s="675"/>
      <c r="AO9" s="675"/>
      <c r="AP9" s="656"/>
      <c r="AQ9" s="656"/>
      <c r="AR9" s="663"/>
      <c r="AS9" s="669"/>
      <c r="AT9" s="665"/>
      <c r="AU9" s="666"/>
      <c r="AV9" s="667"/>
      <c r="AW9" s="667"/>
      <c r="AX9" s="667"/>
      <c r="AY9" s="653"/>
      <c r="AZ9" s="668"/>
      <c r="BA9" s="676"/>
      <c r="BB9" s="656"/>
      <c r="BC9" s="656"/>
      <c r="BD9" s="656"/>
      <c r="BE9" s="656"/>
      <c r="BF9" s="656"/>
      <c r="BG9" s="656"/>
      <c r="BH9" s="657"/>
      <c r="BI9" s="630"/>
      <c r="BJ9" s="653"/>
      <c r="BK9" s="654"/>
      <c r="BL9" s="654"/>
      <c r="BM9" s="654"/>
      <c r="BN9" s="655"/>
      <c r="BO9" s="656"/>
      <c r="BP9" s="656"/>
      <c r="BQ9" s="656"/>
      <c r="BR9" s="656"/>
      <c r="BS9" s="656"/>
      <c r="BT9" s="656"/>
      <c r="BU9" s="657"/>
      <c r="BV9" s="658"/>
      <c r="BW9" s="659"/>
      <c r="BX9" s="656"/>
      <c r="BY9" s="656"/>
      <c r="BZ9" s="656"/>
      <c r="CA9" s="657"/>
      <c r="CB9" s="656"/>
      <c r="CC9" s="656"/>
      <c r="CD9" s="656"/>
      <c r="CE9" s="656"/>
      <c r="CF9" s="656"/>
      <c r="CG9" s="670"/>
      <c r="CH9" s="670"/>
      <c r="CI9" s="671"/>
      <c r="CJ9" s="672"/>
      <c r="CK9" s="656"/>
      <c r="CL9" s="656"/>
      <c r="CM9" s="673"/>
      <c r="CN9" s="673"/>
      <c r="CO9" s="674"/>
      <c r="CP9" s="674"/>
      <c r="CQ9" s="663"/>
      <c r="CR9" s="672"/>
      <c r="CS9" s="663"/>
      <c r="CT9" s="672"/>
      <c r="CU9" s="675"/>
      <c r="CV9" s="675"/>
      <c r="CW9" s="656"/>
      <c r="CX9" s="656"/>
      <c r="CY9" s="663"/>
      <c r="CZ9" s="669"/>
      <c r="DA9" s="665"/>
      <c r="DB9" s="666"/>
      <c r="DC9" s="667"/>
      <c r="DD9" s="667"/>
      <c r="DE9" s="667"/>
      <c r="DF9" s="653"/>
      <c r="DG9" s="668"/>
      <c r="DH9" s="676"/>
      <c r="DI9" s="656"/>
      <c r="DJ9" s="656"/>
      <c r="DK9" s="656"/>
      <c r="DL9" s="656"/>
      <c r="DM9" s="656"/>
      <c r="DN9" s="656"/>
      <c r="DO9" s="657"/>
      <c r="DP9" s="633"/>
      <c r="DQ9" s="634"/>
    </row>
    <row r="10" spans="1:121" ht="21" customHeight="1" x14ac:dyDescent="0.15">
      <c r="A10" s="652">
        <f t="shared" si="0"/>
        <v>4</v>
      </c>
      <c r="B10" s="626"/>
      <c r="C10" s="653"/>
      <c r="D10" s="654"/>
      <c r="E10" s="654"/>
      <c r="F10" s="654"/>
      <c r="G10" s="655"/>
      <c r="H10" s="656"/>
      <c r="I10" s="656"/>
      <c r="J10" s="656"/>
      <c r="K10" s="656"/>
      <c r="L10" s="656"/>
      <c r="M10" s="656"/>
      <c r="N10" s="657"/>
      <c r="O10" s="658"/>
      <c r="P10" s="659"/>
      <c r="Q10" s="656"/>
      <c r="R10" s="656"/>
      <c r="S10" s="656"/>
      <c r="T10" s="657"/>
      <c r="U10" s="656"/>
      <c r="V10" s="656"/>
      <c r="W10" s="656"/>
      <c r="X10" s="656"/>
      <c r="Y10" s="656"/>
      <c r="Z10" s="670"/>
      <c r="AA10" s="670"/>
      <c r="AB10" s="671"/>
      <c r="AC10" s="656"/>
      <c r="AD10" s="656"/>
      <c r="AE10" s="656"/>
      <c r="AF10" s="656"/>
      <c r="AG10" s="656"/>
      <c r="AH10" s="656"/>
      <c r="AI10" s="656"/>
      <c r="AJ10" s="670"/>
      <c r="AK10" s="670"/>
      <c r="AL10" s="671"/>
      <c r="AM10" s="677"/>
      <c r="AN10" s="677"/>
      <c r="AO10" s="678"/>
      <c r="AP10" s="656"/>
      <c r="AQ10" s="656"/>
      <c r="AR10" s="663"/>
      <c r="AS10" s="669"/>
      <c r="AT10" s="665"/>
      <c r="AU10" s="666"/>
      <c r="AV10" s="667"/>
      <c r="AW10" s="667"/>
      <c r="AX10" s="667"/>
      <c r="AY10" s="653"/>
      <c r="AZ10" s="668"/>
      <c r="BA10" s="655"/>
      <c r="BB10" s="656"/>
      <c r="BC10" s="656"/>
      <c r="BD10" s="656"/>
      <c r="BE10" s="656"/>
      <c r="BF10" s="656"/>
      <c r="BG10" s="656"/>
      <c r="BH10" s="657"/>
      <c r="BI10" s="630"/>
      <c r="BJ10" s="653"/>
      <c r="BK10" s="654"/>
      <c r="BL10" s="654"/>
      <c r="BM10" s="654"/>
      <c r="BN10" s="655"/>
      <c r="BO10" s="656"/>
      <c r="BP10" s="656"/>
      <c r="BQ10" s="656"/>
      <c r="BR10" s="656"/>
      <c r="BS10" s="656"/>
      <c r="BT10" s="656"/>
      <c r="BU10" s="657"/>
      <c r="BV10" s="658"/>
      <c r="BW10" s="659"/>
      <c r="BX10" s="656"/>
      <c r="BY10" s="656"/>
      <c r="BZ10" s="656"/>
      <c r="CA10" s="657"/>
      <c r="CB10" s="656"/>
      <c r="CC10" s="656"/>
      <c r="CD10" s="656"/>
      <c r="CE10" s="656"/>
      <c r="CF10" s="656"/>
      <c r="CG10" s="670"/>
      <c r="CH10" s="670"/>
      <c r="CI10" s="671"/>
      <c r="CJ10" s="656"/>
      <c r="CK10" s="656"/>
      <c r="CL10" s="656"/>
      <c r="CM10" s="656"/>
      <c r="CN10" s="656"/>
      <c r="CO10" s="656"/>
      <c r="CP10" s="656"/>
      <c r="CQ10" s="670"/>
      <c r="CR10" s="670"/>
      <c r="CS10" s="671"/>
      <c r="CT10" s="677"/>
      <c r="CU10" s="677"/>
      <c r="CV10" s="678"/>
      <c r="CW10" s="656"/>
      <c r="CX10" s="656"/>
      <c r="CY10" s="663"/>
      <c r="CZ10" s="669"/>
      <c r="DA10" s="665"/>
      <c r="DB10" s="666"/>
      <c r="DC10" s="667"/>
      <c r="DD10" s="667"/>
      <c r="DE10" s="667"/>
      <c r="DF10" s="653"/>
      <c r="DG10" s="668"/>
      <c r="DH10" s="655"/>
      <c r="DI10" s="656"/>
      <c r="DJ10" s="656"/>
      <c r="DK10" s="656"/>
      <c r="DL10" s="656"/>
      <c r="DM10" s="656"/>
      <c r="DN10" s="656"/>
      <c r="DO10" s="657"/>
      <c r="DP10" s="633"/>
      <c r="DQ10" s="634"/>
    </row>
    <row r="11" spans="1:121" ht="21" customHeight="1" x14ac:dyDescent="0.15">
      <c r="A11" s="652">
        <f t="shared" si="0"/>
        <v>5</v>
      </c>
      <c r="B11" s="626"/>
      <c r="C11" s="653"/>
      <c r="D11" s="654"/>
      <c r="E11" s="654"/>
      <c r="F11" s="654"/>
      <c r="G11" s="655"/>
      <c r="H11" s="656"/>
      <c r="I11" s="656"/>
      <c r="J11" s="656"/>
      <c r="K11" s="656"/>
      <c r="L11" s="656"/>
      <c r="M11" s="656"/>
      <c r="N11" s="657"/>
      <c r="O11" s="658"/>
      <c r="P11" s="659"/>
      <c r="Q11" s="656"/>
      <c r="R11" s="656"/>
      <c r="S11" s="656"/>
      <c r="T11" s="657"/>
      <c r="U11" s="656"/>
      <c r="V11" s="656"/>
      <c r="W11" s="656"/>
      <c r="X11" s="656"/>
      <c r="Y11" s="656"/>
      <c r="Z11" s="656"/>
      <c r="AA11" s="656"/>
      <c r="AB11" s="667"/>
      <c r="AC11" s="667"/>
      <c r="AD11" s="671"/>
      <c r="AE11" s="679"/>
      <c r="AF11" s="679"/>
      <c r="AG11" s="680"/>
      <c r="AH11" s="656"/>
      <c r="AI11" s="656"/>
      <c r="AJ11" s="681"/>
      <c r="AK11" s="681"/>
      <c r="AL11" s="671"/>
      <c r="AM11" s="679"/>
      <c r="AN11" s="679"/>
      <c r="AO11" s="656"/>
      <c r="AP11" s="656"/>
      <c r="AQ11" s="656"/>
      <c r="AR11" s="663"/>
      <c r="AS11" s="669"/>
      <c r="AT11" s="665"/>
      <c r="AU11" s="666"/>
      <c r="AV11" s="667"/>
      <c r="AW11" s="667"/>
      <c r="AX11" s="667"/>
      <c r="AY11" s="653"/>
      <c r="AZ11" s="668"/>
      <c r="BA11" s="655"/>
      <c r="BB11" s="656"/>
      <c r="BC11" s="656"/>
      <c r="BD11" s="656"/>
      <c r="BE11" s="656"/>
      <c r="BF11" s="656"/>
      <c r="BG11" s="656"/>
      <c r="BH11" s="657"/>
      <c r="BI11" s="630"/>
      <c r="BJ11" s="653"/>
      <c r="BK11" s="654"/>
      <c r="BL11" s="654"/>
      <c r="BM11" s="654"/>
      <c r="BN11" s="655"/>
      <c r="BO11" s="656"/>
      <c r="BP11" s="656"/>
      <c r="BQ11" s="656"/>
      <c r="BR11" s="656"/>
      <c r="BS11" s="656"/>
      <c r="BT11" s="656"/>
      <c r="BU11" s="657"/>
      <c r="BV11" s="658"/>
      <c r="BW11" s="659"/>
      <c r="BX11" s="656"/>
      <c r="BY11" s="656"/>
      <c r="BZ11" s="656"/>
      <c r="CA11" s="657"/>
      <c r="CB11" s="656"/>
      <c r="CC11" s="656"/>
      <c r="CD11" s="656"/>
      <c r="CE11" s="656"/>
      <c r="CF11" s="656"/>
      <c r="CG11" s="656"/>
      <c r="CH11" s="656"/>
      <c r="CI11" s="667"/>
      <c r="CJ11" s="667"/>
      <c r="CK11" s="671"/>
      <c r="CL11" s="679"/>
      <c r="CM11" s="679"/>
      <c r="CN11" s="680"/>
      <c r="CO11" s="656"/>
      <c r="CP11" s="656"/>
      <c r="CQ11" s="681"/>
      <c r="CR11" s="681"/>
      <c r="CS11" s="671"/>
      <c r="CT11" s="679"/>
      <c r="CU11" s="679"/>
      <c r="CV11" s="656"/>
      <c r="CW11" s="656"/>
      <c r="CX11" s="656"/>
      <c r="CY11" s="663"/>
      <c r="CZ11" s="669"/>
      <c r="DA11" s="665"/>
      <c r="DB11" s="666"/>
      <c r="DC11" s="667"/>
      <c r="DD11" s="667"/>
      <c r="DE11" s="667"/>
      <c r="DF11" s="653"/>
      <c r="DG11" s="668"/>
      <c r="DH11" s="655"/>
      <c r="DI11" s="656"/>
      <c r="DJ11" s="656"/>
      <c r="DK11" s="656"/>
      <c r="DL11" s="656"/>
      <c r="DM11" s="656"/>
      <c r="DN11" s="656"/>
      <c r="DO11" s="657"/>
      <c r="DP11" s="633"/>
      <c r="DQ11" s="634"/>
    </row>
    <row r="12" spans="1:121" ht="21" customHeight="1" x14ac:dyDescent="0.15">
      <c r="A12" s="652">
        <f t="shared" si="0"/>
        <v>6</v>
      </c>
      <c r="B12" s="626"/>
      <c r="C12" s="653"/>
      <c r="D12" s="654"/>
      <c r="E12" s="654"/>
      <c r="F12" s="654"/>
      <c r="G12" s="655"/>
      <c r="H12" s="656"/>
      <c r="I12" s="656"/>
      <c r="J12" s="656"/>
      <c r="K12" s="656"/>
      <c r="L12" s="656"/>
      <c r="M12" s="656"/>
      <c r="N12" s="657"/>
      <c r="O12" s="658"/>
      <c r="P12" s="659"/>
      <c r="Q12" s="656"/>
      <c r="R12" s="656"/>
      <c r="S12" s="656"/>
      <c r="T12" s="657"/>
      <c r="U12" s="656"/>
      <c r="V12" s="656"/>
      <c r="W12" s="656"/>
      <c r="X12" s="656"/>
      <c r="Y12" s="656"/>
      <c r="Z12" s="656"/>
      <c r="AA12" s="656"/>
      <c r="AB12" s="656"/>
      <c r="AC12" s="656"/>
      <c r="AD12" s="656"/>
      <c r="AE12" s="675"/>
      <c r="AF12" s="675"/>
      <c r="AG12" s="671"/>
      <c r="AH12" s="656"/>
      <c r="AI12" s="656"/>
      <c r="AJ12" s="656"/>
      <c r="AK12" s="656"/>
      <c r="AL12" s="656"/>
      <c r="AM12" s="675"/>
      <c r="AN12" s="675"/>
      <c r="AO12" s="656"/>
      <c r="AP12" s="656"/>
      <c r="AQ12" s="656"/>
      <c r="AR12" s="656"/>
      <c r="AS12" s="669"/>
      <c r="AT12" s="665"/>
      <c r="AU12" s="666"/>
      <c r="AV12" s="667"/>
      <c r="AW12" s="667"/>
      <c r="AX12" s="667"/>
      <c r="AY12" s="653"/>
      <c r="AZ12" s="668"/>
      <c r="BA12" s="655"/>
      <c r="BB12" s="656"/>
      <c r="BC12" s="656"/>
      <c r="BD12" s="656"/>
      <c r="BE12" s="656"/>
      <c r="BF12" s="656"/>
      <c r="BG12" s="656"/>
      <c r="BH12" s="657"/>
      <c r="BI12" s="630"/>
      <c r="BJ12" s="653"/>
      <c r="BK12" s="654"/>
      <c r="BL12" s="654"/>
      <c r="BM12" s="654"/>
      <c r="BN12" s="655"/>
      <c r="BO12" s="656"/>
      <c r="BP12" s="656"/>
      <c r="BQ12" s="656"/>
      <c r="BR12" s="656"/>
      <c r="BS12" s="656"/>
      <c r="BT12" s="656"/>
      <c r="BU12" s="657"/>
      <c r="BV12" s="658"/>
      <c r="BW12" s="659"/>
      <c r="BX12" s="656"/>
      <c r="BY12" s="656"/>
      <c r="BZ12" s="656"/>
      <c r="CA12" s="657"/>
      <c r="CB12" s="656"/>
      <c r="CC12" s="656"/>
      <c r="CD12" s="656"/>
      <c r="CE12" s="656"/>
      <c r="CF12" s="656"/>
      <c r="CG12" s="656"/>
      <c r="CH12" s="656"/>
      <c r="CI12" s="656"/>
      <c r="CJ12" s="656"/>
      <c r="CK12" s="656"/>
      <c r="CL12" s="675"/>
      <c r="CM12" s="675"/>
      <c r="CN12" s="671"/>
      <c r="CO12" s="656"/>
      <c r="CP12" s="656"/>
      <c r="CQ12" s="656"/>
      <c r="CR12" s="656"/>
      <c r="CS12" s="656"/>
      <c r="CT12" s="675"/>
      <c r="CU12" s="675"/>
      <c r="CV12" s="656"/>
      <c r="CW12" s="656"/>
      <c r="CX12" s="656"/>
      <c r="CY12" s="656"/>
      <c r="CZ12" s="669"/>
      <c r="DA12" s="665"/>
      <c r="DB12" s="666"/>
      <c r="DC12" s="667"/>
      <c r="DD12" s="667"/>
      <c r="DE12" s="667"/>
      <c r="DF12" s="653"/>
      <c r="DG12" s="668"/>
      <c r="DH12" s="655"/>
      <c r="DI12" s="656"/>
      <c r="DJ12" s="656"/>
      <c r="DK12" s="656"/>
      <c r="DL12" s="656"/>
      <c r="DM12" s="656"/>
      <c r="DN12" s="656"/>
      <c r="DO12" s="657"/>
      <c r="DP12" s="633"/>
      <c r="DQ12" s="634"/>
    </row>
    <row r="13" spans="1:121" ht="21" customHeight="1" x14ac:dyDescent="0.15">
      <c r="A13" s="652">
        <f t="shared" si="0"/>
        <v>7</v>
      </c>
      <c r="B13" s="626"/>
      <c r="C13" s="653"/>
      <c r="D13" s="654"/>
      <c r="E13" s="654"/>
      <c r="F13" s="668"/>
      <c r="G13" s="655"/>
      <c r="H13" s="656"/>
      <c r="I13" s="656"/>
      <c r="J13" s="656"/>
      <c r="K13" s="656"/>
      <c r="L13" s="656"/>
      <c r="M13" s="656"/>
      <c r="N13" s="657"/>
      <c r="O13" s="682"/>
      <c r="P13" s="683"/>
      <c r="Q13" s="661"/>
      <c r="R13" s="661"/>
      <c r="S13" s="661"/>
      <c r="T13" s="662"/>
      <c r="U13" s="656"/>
      <c r="V13" s="656"/>
      <c r="W13" s="656"/>
      <c r="X13" s="656"/>
      <c r="Y13" s="656"/>
      <c r="Z13" s="684"/>
      <c r="AA13" s="656"/>
      <c r="AB13" s="656"/>
      <c r="AC13" s="656"/>
      <c r="AD13" s="656"/>
      <c r="AE13" s="656"/>
      <c r="AF13" s="656"/>
      <c r="AG13" s="656"/>
      <c r="AH13" s="656"/>
      <c r="AI13" s="672"/>
      <c r="AJ13" s="672"/>
      <c r="AK13" s="663"/>
      <c r="AL13" s="672"/>
      <c r="AM13" s="656"/>
      <c r="AN13" s="656"/>
      <c r="AO13" s="656"/>
      <c r="AP13" s="656"/>
      <c r="AQ13" s="656"/>
      <c r="AR13" s="663"/>
      <c r="AS13" s="669"/>
      <c r="AT13" s="665"/>
      <c r="AU13" s="666"/>
      <c r="AV13" s="685"/>
      <c r="AW13" s="667"/>
      <c r="AX13" s="686"/>
      <c r="AY13" s="653"/>
      <c r="AZ13" s="668"/>
      <c r="BA13" s="655"/>
      <c r="BB13" s="656"/>
      <c r="BC13" s="656"/>
      <c r="BD13" s="656"/>
      <c r="BE13" s="656"/>
      <c r="BF13" s="656"/>
      <c r="BG13" s="656"/>
      <c r="BH13" s="657"/>
      <c r="BI13" s="630"/>
      <c r="BJ13" s="653"/>
      <c r="BK13" s="654"/>
      <c r="BL13" s="654"/>
      <c r="BM13" s="668"/>
      <c r="BN13" s="655"/>
      <c r="BO13" s="656"/>
      <c r="BP13" s="656"/>
      <c r="BQ13" s="656"/>
      <c r="BR13" s="656"/>
      <c r="BS13" s="656"/>
      <c r="BT13" s="656"/>
      <c r="BU13" s="657"/>
      <c r="BV13" s="682"/>
      <c r="BW13" s="683"/>
      <c r="BX13" s="661"/>
      <c r="BY13" s="661"/>
      <c r="BZ13" s="661"/>
      <c r="CA13" s="662"/>
      <c r="CB13" s="656"/>
      <c r="CC13" s="656"/>
      <c r="CD13" s="656"/>
      <c r="CE13" s="656"/>
      <c r="CF13" s="656"/>
      <c r="CG13" s="684"/>
      <c r="CH13" s="656"/>
      <c r="CI13" s="656"/>
      <c r="CJ13" s="656"/>
      <c r="CK13" s="656"/>
      <c r="CL13" s="656"/>
      <c r="CM13" s="656"/>
      <c r="CN13" s="656"/>
      <c r="CO13" s="656"/>
      <c r="CP13" s="672"/>
      <c r="CQ13" s="672"/>
      <c r="CR13" s="663"/>
      <c r="CS13" s="672"/>
      <c r="CT13" s="656"/>
      <c r="CU13" s="656"/>
      <c r="CV13" s="656"/>
      <c r="CW13" s="656"/>
      <c r="CX13" s="656"/>
      <c r="CY13" s="663"/>
      <c r="CZ13" s="669"/>
      <c r="DA13" s="665"/>
      <c r="DB13" s="666"/>
      <c r="DC13" s="685"/>
      <c r="DD13" s="667"/>
      <c r="DE13" s="686"/>
      <c r="DF13" s="653"/>
      <c r="DG13" s="668"/>
      <c r="DH13" s="655"/>
      <c r="DI13" s="656"/>
      <c r="DJ13" s="656"/>
      <c r="DK13" s="656"/>
      <c r="DL13" s="656"/>
      <c r="DM13" s="656"/>
      <c r="DN13" s="656"/>
      <c r="DO13" s="657"/>
      <c r="DP13" s="633"/>
      <c r="DQ13" s="634"/>
    </row>
    <row r="14" spans="1:121" ht="21" customHeight="1" x14ac:dyDescent="0.15">
      <c r="A14" s="652">
        <f t="shared" si="0"/>
        <v>8</v>
      </c>
      <c r="B14" s="626"/>
      <c r="C14" s="653"/>
      <c r="D14" s="654"/>
      <c r="E14" s="654"/>
      <c r="F14" s="668"/>
      <c r="G14" s="655"/>
      <c r="H14" s="656"/>
      <c r="I14" s="656"/>
      <c r="J14" s="656"/>
      <c r="K14" s="656"/>
      <c r="L14" s="656"/>
      <c r="M14" s="656"/>
      <c r="N14" s="657"/>
      <c r="O14" s="658"/>
      <c r="P14" s="659"/>
      <c r="Q14" s="656"/>
      <c r="R14" s="656"/>
      <c r="S14" s="656"/>
      <c r="T14" s="657"/>
      <c r="U14" s="656"/>
      <c r="V14" s="656"/>
      <c r="W14" s="656"/>
      <c r="X14" s="656"/>
      <c r="Y14" s="656"/>
      <c r="Z14" s="656"/>
      <c r="AA14" s="656"/>
      <c r="AB14" s="656"/>
      <c r="AC14" s="656"/>
      <c r="AD14" s="656"/>
      <c r="AE14" s="656"/>
      <c r="AF14" s="656"/>
      <c r="AG14" s="656"/>
      <c r="AH14" s="656"/>
      <c r="AI14" s="656"/>
      <c r="AJ14" s="687"/>
      <c r="AK14" s="687"/>
      <c r="AL14" s="687"/>
      <c r="AM14" s="687"/>
      <c r="AN14" s="687"/>
      <c r="AO14" s="656"/>
      <c r="AP14" s="656"/>
      <c r="AQ14" s="656"/>
      <c r="AR14" s="663"/>
      <c r="AS14" s="669"/>
      <c r="AT14" s="665"/>
      <c r="AU14" s="666"/>
      <c r="AV14" s="685"/>
      <c r="AW14" s="667"/>
      <c r="AX14" s="686"/>
      <c r="AY14" s="653"/>
      <c r="AZ14" s="668"/>
      <c r="BA14" s="655"/>
      <c r="BB14" s="656"/>
      <c r="BC14" s="656"/>
      <c r="BD14" s="656"/>
      <c r="BE14" s="656"/>
      <c r="BF14" s="656"/>
      <c r="BG14" s="656"/>
      <c r="BH14" s="657"/>
      <c r="BI14" s="630"/>
      <c r="BJ14" s="653"/>
      <c r="BK14" s="654"/>
      <c r="BL14" s="654"/>
      <c r="BM14" s="668"/>
      <c r="BN14" s="655"/>
      <c r="BO14" s="656"/>
      <c r="BP14" s="656"/>
      <c r="BQ14" s="656"/>
      <c r="BR14" s="656"/>
      <c r="BS14" s="656"/>
      <c r="BT14" s="656"/>
      <c r="BU14" s="657"/>
      <c r="BV14" s="658"/>
      <c r="BW14" s="659"/>
      <c r="BX14" s="656"/>
      <c r="BY14" s="656"/>
      <c r="BZ14" s="656"/>
      <c r="CA14" s="657"/>
      <c r="CB14" s="656"/>
      <c r="CC14" s="656"/>
      <c r="CD14" s="656"/>
      <c r="CE14" s="656"/>
      <c r="CF14" s="656"/>
      <c r="CG14" s="656"/>
      <c r="CH14" s="656"/>
      <c r="CI14" s="656"/>
      <c r="CJ14" s="656"/>
      <c r="CK14" s="656"/>
      <c r="CL14" s="656"/>
      <c r="CM14" s="656"/>
      <c r="CN14" s="656"/>
      <c r="CO14" s="656"/>
      <c r="CP14" s="656"/>
      <c r="CQ14" s="687"/>
      <c r="CR14" s="687"/>
      <c r="CS14" s="687"/>
      <c r="CT14" s="687"/>
      <c r="CU14" s="687"/>
      <c r="CV14" s="656"/>
      <c r="CW14" s="656"/>
      <c r="CX14" s="656"/>
      <c r="CY14" s="663"/>
      <c r="CZ14" s="669"/>
      <c r="DA14" s="665"/>
      <c r="DB14" s="666"/>
      <c r="DC14" s="685"/>
      <c r="DD14" s="667"/>
      <c r="DE14" s="686"/>
      <c r="DF14" s="653"/>
      <c r="DG14" s="668"/>
      <c r="DH14" s="655"/>
      <c r="DI14" s="656"/>
      <c r="DJ14" s="656"/>
      <c r="DK14" s="656"/>
      <c r="DL14" s="656"/>
      <c r="DM14" s="656"/>
      <c r="DN14" s="656"/>
      <c r="DO14" s="657"/>
      <c r="DP14" s="633"/>
      <c r="DQ14" s="634"/>
    </row>
    <row r="15" spans="1:121" ht="21" customHeight="1" x14ac:dyDescent="0.15">
      <c r="A15" s="652">
        <f t="shared" si="0"/>
        <v>9</v>
      </c>
      <c r="B15" s="626"/>
      <c r="C15" s="653"/>
      <c r="D15" s="654"/>
      <c r="E15" s="654"/>
      <c r="F15" s="668"/>
      <c r="G15" s="655"/>
      <c r="H15" s="656"/>
      <c r="I15" s="656"/>
      <c r="J15" s="656"/>
      <c r="K15" s="656"/>
      <c r="L15" s="656"/>
      <c r="M15" s="656"/>
      <c r="N15" s="657"/>
      <c r="O15" s="658"/>
      <c r="P15" s="659"/>
      <c r="Q15" s="656"/>
      <c r="R15" s="656"/>
      <c r="S15" s="656"/>
      <c r="T15" s="657"/>
      <c r="U15" s="656"/>
      <c r="V15" s="673"/>
      <c r="W15" s="673"/>
      <c r="X15" s="673"/>
      <c r="Y15" s="656"/>
      <c r="Z15" s="688"/>
      <c r="AA15" s="688"/>
      <c r="AB15" s="671"/>
      <c r="AC15" s="654"/>
      <c r="AD15" s="654"/>
      <c r="AE15" s="671"/>
      <c r="AF15" s="688"/>
      <c r="AG15" s="688"/>
      <c r="AH15" s="689"/>
      <c r="AI15" s="688"/>
      <c r="AJ15" s="688"/>
      <c r="AK15" s="671"/>
      <c r="AL15" s="671"/>
      <c r="AM15" s="671"/>
      <c r="AN15" s="671"/>
      <c r="AO15" s="656"/>
      <c r="AP15" s="656"/>
      <c r="AQ15" s="656"/>
      <c r="AR15" s="663"/>
      <c r="AS15" s="669"/>
      <c r="AT15" s="665"/>
      <c r="AU15" s="666"/>
      <c r="AV15" s="685"/>
      <c r="AW15" s="667"/>
      <c r="AX15" s="686"/>
      <c r="AY15" s="653"/>
      <c r="AZ15" s="668"/>
      <c r="BA15" s="655"/>
      <c r="BB15" s="656"/>
      <c r="BC15" s="656"/>
      <c r="BD15" s="656"/>
      <c r="BE15" s="656"/>
      <c r="BF15" s="656"/>
      <c r="BG15" s="656"/>
      <c r="BH15" s="657"/>
      <c r="BI15" s="630"/>
      <c r="BJ15" s="653"/>
      <c r="BK15" s="654"/>
      <c r="BL15" s="654"/>
      <c r="BM15" s="668"/>
      <c r="BN15" s="655"/>
      <c r="BO15" s="656"/>
      <c r="BP15" s="656"/>
      <c r="BQ15" s="656"/>
      <c r="BR15" s="656"/>
      <c r="BS15" s="656"/>
      <c r="BT15" s="656"/>
      <c r="BU15" s="657"/>
      <c r="BV15" s="658"/>
      <c r="BW15" s="659"/>
      <c r="BX15" s="656"/>
      <c r="BY15" s="656"/>
      <c r="BZ15" s="656"/>
      <c r="CA15" s="657"/>
      <c r="CB15" s="656"/>
      <c r="CC15" s="673"/>
      <c r="CD15" s="673"/>
      <c r="CE15" s="673"/>
      <c r="CF15" s="656"/>
      <c r="CG15" s="688"/>
      <c r="CH15" s="688"/>
      <c r="CI15" s="671"/>
      <c r="CJ15" s="654"/>
      <c r="CK15" s="654"/>
      <c r="CL15" s="671"/>
      <c r="CM15" s="688"/>
      <c r="CN15" s="688"/>
      <c r="CO15" s="689"/>
      <c r="CP15" s="688"/>
      <c r="CQ15" s="688"/>
      <c r="CR15" s="671"/>
      <c r="CS15" s="671"/>
      <c r="CT15" s="671"/>
      <c r="CU15" s="671"/>
      <c r="CV15" s="656"/>
      <c r="CW15" s="656"/>
      <c r="CX15" s="656"/>
      <c r="CY15" s="663"/>
      <c r="CZ15" s="669"/>
      <c r="DA15" s="665"/>
      <c r="DB15" s="666"/>
      <c r="DC15" s="685"/>
      <c r="DD15" s="667"/>
      <c r="DE15" s="686"/>
      <c r="DF15" s="653"/>
      <c r="DG15" s="668"/>
      <c r="DH15" s="655"/>
      <c r="DI15" s="656"/>
      <c r="DJ15" s="656"/>
      <c r="DK15" s="656"/>
      <c r="DL15" s="656"/>
      <c r="DM15" s="656"/>
      <c r="DN15" s="656"/>
      <c r="DO15" s="657"/>
      <c r="DP15" s="633"/>
      <c r="DQ15" s="634"/>
    </row>
    <row r="16" spans="1:121" ht="21" customHeight="1" x14ac:dyDescent="0.15">
      <c r="A16" s="652">
        <f t="shared" si="0"/>
        <v>10</v>
      </c>
      <c r="B16" s="626"/>
      <c r="C16" s="653"/>
      <c r="D16" s="654"/>
      <c r="E16" s="654"/>
      <c r="F16" s="668"/>
      <c r="G16" s="655"/>
      <c r="H16" s="656"/>
      <c r="I16" s="656"/>
      <c r="J16" s="656"/>
      <c r="K16" s="656"/>
      <c r="L16" s="656"/>
      <c r="M16" s="656"/>
      <c r="N16" s="657"/>
      <c r="O16" s="658"/>
      <c r="P16" s="659"/>
      <c r="Q16" s="656"/>
      <c r="R16" s="656"/>
      <c r="S16" s="656"/>
      <c r="T16" s="657"/>
      <c r="U16" s="656"/>
      <c r="V16" s="656"/>
      <c r="W16" s="656"/>
      <c r="X16" s="656"/>
      <c r="Y16" s="656"/>
      <c r="Z16" s="671"/>
      <c r="AA16" s="656"/>
      <c r="AB16" s="656"/>
      <c r="AC16" s="656"/>
      <c r="AD16" s="656"/>
      <c r="AE16" s="656"/>
      <c r="AF16" s="656"/>
      <c r="AG16" s="656"/>
      <c r="AH16" s="656"/>
      <c r="AI16" s="656"/>
      <c r="AJ16" s="656"/>
      <c r="AK16" s="656"/>
      <c r="AL16" s="656"/>
      <c r="AM16" s="656"/>
      <c r="AN16" s="656"/>
      <c r="AO16" s="656"/>
      <c r="AP16" s="656"/>
      <c r="AQ16" s="656"/>
      <c r="AR16" s="663"/>
      <c r="AS16" s="669"/>
      <c r="AT16" s="665"/>
      <c r="AU16" s="666"/>
      <c r="AV16" s="685"/>
      <c r="AW16" s="667"/>
      <c r="AX16" s="686"/>
      <c r="AY16" s="653"/>
      <c r="AZ16" s="668"/>
      <c r="BA16" s="655"/>
      <c r="BB16" s="656"/>
      <c r="BC16" s="656"/>
      <c r="BD16" s="656"/>
      <c r="BE16" s="656"/>
      <c r="BF16" s="656"/>
      <c r="BG16" s="656"/>
      <c r="BH16" s="657"/>
      <c r="BI16" s="630"/>
      <c r="BJ16" s="653"/>
      <c r="BK16" s="654"/>
      <c r="BL16" s="654"/>
      <c r="BM16" s="654"/>
      <c r="BN16" s="655"/>
      <c r="BO16" s="656"/>
      <c r="BP16" s="656"/>
      <c r="BQ16" s="656"/>
      <c r="BR16" s="656"/>
      <c r="BS16" s="656"/>
      <c r="BT16" s="656"/>
      <c r="BU16" s="657"/>
      <c r="BV16" s="658"/>
      <c r="BW16" s="659"/>
      <c r="BX16" s="656"/>
      <c r="BY16" s="656"/>
      <c r="BZ16" s="656"/>
      <c r="CA16" s="657"/>
      <c r="CB16" s="656"/>
      <c r="CC16" s="656"/>
      <c r="CD16" s="656"/>
      <c r="CE16" s="656"/>
      <c r="CF16" s="656"/>
      <c r="CG16" s="656"/>
      <c r="CH16" s="656"/>
      <c r="CI16" s="656"/>
      <c r="CJ16" s="656"/>
      <c r="CK16" s="656"/>
      <c r="CL16" s="675"/>
      <c r="CM16" s="675"/>
      <c r="CN16" s="671"/>
      <c r="CO16" s="656"/>
      <c r="CP16" s="656"/>
      <c r="CQ16" s="656"/>
      <c r="CR16" s="656"/>
      <c r="CS16" s="656"/>
      <c r="CT16" s="675"/>
      <c r="CU16" s="675"/>
      <c r="CV16" s="656"/>
      <c r="CW16" s="656"/>
      <c r="CX16" s="656"/>
      <c r="CY16" s="656"/>
      <c r="CZ16" s="669"/>
      <c r="DA16" s="665"/>
      <c r="DB16" s="666"/>
      <c r="DC16" s="667"/>
      <c r="DD16" s="667"/>
      <c r="DE16" s="667"/>
      <c r="DF16" s="653"/>
      <c r="DG16" s="668"/>
      <c r="DH16" s="655"/>
      <c r="DI16" s="656"/>
      <c r="DJ16" s="656"/>
      <c r="DK16" s="656"/>
      <c r="DL16" s="656"/>
      <c r="DM16" s="656"/>
      <c r="DN16" s="656"/>
      <c r="DO16" s="657"/>
      <c r="DP16" s="633"/>
      <c r="DQ16" s="634"/>
    </row>
    <row r="17" spans="1:121" ht="21" customHeight="1" x14ac:dyDescent="0.15">
      <c r="A17" s="652">
        <f t="shared" si="0"/>
        <v>11</v>
      </c>
      <c r="B17" s="626"/>
      <c r="C17" s="653"/>
      <c r="D17" s="654"/>
      <c r="E17" s="654"/>
      <c r="F17" s="668"/>
      <c r="G17" s="655"/>
      <c r="H17" s="656"/>
      <c r="I17" s="656"/>
      <c r="J17" s="656"/>
      <c r="K17" s="656"/>
      <c r="L17" s="656"/>
      <c r="M17" s="656"/>
      <c r="N17" s="657"/>
      <c r="O17" s="658"/>
      <c r="P17" s="659"/>
      <c r="Q17" s="656"/>
      <c r="R17" s="656"/>
      <c r="S17" s="656"/>
      <c r="T17" s="657"/>
      <c r="U17" s="656"/>
      <c r="V17" s="656"/>
      <c r="W17" s="656"/>
      <c r="X17" s="656"/>
      <c r="Y17" s="656"/>
      <c r="Z17" s="690"/>
      <c r="AA17" s="690"/>
      <c r="AB17" s="690"/>
      <c r="AC17" s="690"/>
      <c r="AD17" s="690"/>
      <c r="AE17" s="656"/>
      <c r="AF17" s="687"/>
      <c r="AG17" s="687"/>
      <c r="AH17" s="687"/>
      <c r="AI17" s="687"/>
      <c r="AJ17" s="656"/>
      <c r="AK17" s="656"/>
      <c r="AL17" s="656"/>
      <c r="AM17" s="656"/>
      <c r="AN17" s="656"/>
      <c r="AO17" s="656"/>
      <c r="AP17" s="656"/>
      <c r="AQ17" s="656"/>
      <c r="AR17" s="656"/>
      <c r="AS17" s="669"/>
      <c r="AT17" s="665"/>
      <c r="AU17" s="666"/>
      <c r="AV17" s="691"/>
      <c r="AW17" s="691"/>
      <c r="AX17" s="691"/>
      <c r="AY17" s="653"/>
      <c r="AZ17" s="668"/>
      <c r="BA17" s="655"/>
      <c r="BB17" s="656"/>
      <c r="BC17" s="656"/>
      <c r="BD17" s="656"/>
      <c r="BE17" s="656"/>
      <c r="BF17" s="656"/>
      <c r="BG17" s="656"/>
      <c r="BH17" s="657"/>
      <c r="BI17" s="630"/>
      <c r="BJ17" s="653"/>
      <c r="BK17" s="654"/>
      <c r="BL17" s="654"/>
      <c r="BM17" s="668"/>
      <c r="BN17" s="655"/>
      <c r="BO17" s="656"/>
      <c r="BP17" s="656"/>
      <c r="BQ17" s="656"/>
      <c r="BR17" s="656"/>
      <c r="BS17" s="656"/>
      <c r="BT17" s="656"/>
      <c r="BU17" s="657"/>
      <c r="BV17" s="658"/>
      <c r="BW17" s="659"/>
      <c r="BX17" s="656"/>
      <c r="BY17" s="656"/>
      <c r="BZ17" s="656"/>
      <c r="CA17" s="657"/>
      <c r="CB17" s="656"/>
      <c r="CC17" s="656"/>
      <c r="CD17" s="656"/>
      <c r="CE17" s="656"/>
      <c r="CF17" s="656"/>
      <c r="CG17" s="690"/>
      <c r="CH17" s="690"/>
      <c r="CI17" s="690"/>
      <c r="CJ17" s="690"/>
      <c r="CK17" s="690"/>
      <c r="CL17" s="656"/>
      <c r="CM17" s="687"/>
      <c r="CN17" s="687"/>
      <c r="CO17" s="687"/>
      <c r="CP17" s="687"/>
      <c r="CQ17" s="656"/>
      <c r="CR17" s="656"/>
      <c r="CS17" s="656"/>
      <c r="CT17" s="656"/>
      <c r="CU17" s="656"/>
      <c r="CV17" s="656"/>
      <c r="CW17" s="656"/>
      <c r="CX17" s="656"/>
      <c r="CY17" s="656"/>
      <c r="CZ17" s="669"/>
      <c r="DA17" s="665"/>
      <c r="DB17" s="666"/>
      <c r="DC17" s="691"/>
      <c r="DD17" s="691"/>
      <c r="DE17" s="691"/>
      <c r="DF17" s="653"/>
      <c r="DG17" s="668"/>
      <c r="DI17" s="656"/>
      <c r="DJ17" s="656"/>
      <c r="DK17" s="656"/>
      <c r="DL17" s="656"/>
      <c r="DM17" s="656"/>
      <c r="DN17" s="656"/>
      <c r="DO17" s="657"/>
      <c r="DP17" s="633"/>
      <c r="DQ17" s="634"/>
    </row>
    <row r="18" spans="1:121" ht="21" customHeight="1" x14ac:dyDescent="0.15">
      <c r="A18" s="652">
        <f t="shared" si="0"/>
        <v>12</v>
      </c>
      <c r="B18" s="626"/>
      <c r="C18" s="653"/>
      <c r="D18" s="654"/>
      <c r="E18" s="654"/>
      <c r="F18" s="668"/>
      <c r="G18" s="655"/>
      <c r="H18" s="656"/>
      <c r="I18" s="656"/>
      <c r="J18" s="656"/>
      <c r="K18" s="656"/>
      <c r="L18" s="656"/>
      <c r="M18" s="656"/>
      <c r="N18" s="657"/>
      <c r="O18" s="658"/>
      <c r="P18" s="659"/>
      <c r="Q18" s="656"/>
      <c r="R18" s="656"/>
      <c r="S18" s="656"/>
      <c r="T18" s="657"/>
      <c r="U18" s="656"/>
      <c r="V18" s="656"/>
      <c r="W18" s="656"/>
      <c r="X18" s="656"/>
      <c r="Y18" s="656"/>
      <c r="Z18" s="670"/>
      <c r="AA18" s="670"/>
      <c r="AB18" s="671"/>
      <c r="AC18" s="656"/>
      <c r="AD18" s="656"/>
      <c r="AE18" s="656"/>
      <c r="AF18" s="673"/>
      <c r="AG18" s="673"/>
      <c r="AH18" s="673"/>
      <c r="AI18" s="656"/>
      <c r="AJ18" s="670"/>
      <c r="AK18" s="670"/>
      <c r="AL18" s="671"/>
      <c r="AM18" s="656"/>
      <c r="AN18" s="656"/>
      <c r="AO18" s="656"/>
      <c r="AP18" s="656"/>
      <c r="AQ18" s="656"/>
      <c r="AR18" s="656"/>
      <c r="AS18" s="669"/>
      <c r="AT18" s="665"/>
      <c r="AU18" s="666"/>
      <c r="AV18" s="685"/>
      <c r="AW18" s="667"/>
      <c r="AX18" s="686"/>
      <c r="AY18" s="653"/>
      <c r="AZ18" s="668"/>
      <c r="BA18" s="655"/>
      <c r="BB18" s="656"/>
      <c r="BC18" s="656"/>
      <c r="BD18" s="656"/>
      <c r="BE18" s="656"/>
      <c r="BF18" s="656"/>
      <c r="BG18" s="656"/>
      <c r="BH18" s="657"/>
      <c r="BI18" s="630"/>
      <c r="BJ18" s="653"/>
      <c r="BK18" s="654"/>
      <c r="BL18" s="654"/>
      <c r="BM18" s="668"/>
      <c r="BN18" s="655"/>
      <c r="BO18" s="656"/>
      <c r="BP18" s="656"/>
      <c r="BQ18" s="656"/>
      <c r="BR18" s="656"/>
      <c r="BS18" s="656"/>
      <c r="BT18" s="656"/>
      <c r="BU18" s="657"/>
      <c r="BV18" s="658"/>
      <c r="BW18" s="659"/>
      <c r="BX18" s="656"/>
      <c r="BY18" s="656"/>
      <c r="BZ18" s="656"/>
      <c r="CA18" s="657"/>
      <c r="CB18" s="656"/>
      <c r="CC18" s="656"/>
      <c r="CD18" s="656"/>
      <c r="CE18" s="656"/>
      <c r="CF18" s="656"/>
      <c r="CG18" s="670"/>
      <c r="CH18" s="670"/>
      <c r="CI18" s="671"/>
      <c r="CJ18" s="656"/>
      <c r="CK18" s="656"/>
      <c r="CL18" s="656"/>
      <c r="CM18" s="673"/>
      <c r="CN18" s="673"/>
      <c r="CO18" s="673"/>
      <c r="CP18" s="656"/>
      <c r="CQ18" s="670"/>
      <c r="CR18" s="670"/>
      <c r="CS18" s="671"/>
      <c r="CT18" s="656"/>
      <c r="CU18" s="656"/>
      <c r="CV18" s="656"/>
      <c r="CW18" s="656"/>
      <c r="CX18" s="656"/>
      <c r="CY18" s="656"/>
      <c r="CZ18" s="669"/>
      <c r="DA18" s="665"/>
      <c r="DB18" s="666"/>
      <c r="DC18" s="685"/>
      <c r="DD18" s="667"/>
      <c r="DE18" s="686"/>
      <c r="DF18" s="653"/>
      <c r="DG18" s="668"/>
      <c r="DH18" s="692"/>
      <c r="DI18" s="656"/>
      <c r="DJ18" s="656"/>
      <c r="DK18" s="656"/>
      <c r="DL18" s="656"/>
      <c r="DM18" s="656"/>
      <c r="DN18" s="656"/>
      <c r="DO18" s="657"/>
      <c r="DP18" s="633"/>
      <c r="DQ18" s="634"/>
    </row>
    <row r="19" spans="1:121" ht="21" customHeight="1" x14ac:dyDescent="0.15">
      <c r="A19" s="652">
        <f t="shared" si="0"/>
        <v>13</v>
      </c>
      <c r="B19" s="626"/>
      <c r="C19" s="653"/>
      <c r="D19" s="654"/>
      <c r="E19" s="654"/>
      <c r="F19" s="668"/>
      <c r="G19" s="655"/>
      <c r="H19" s="656"/>
      <c r="I19" s="656"/>
      <c r="J19" s="656"/>
      <c r="K19" s="656"/>
      <c r="L19" s="656"/>
      <c r="M19" s="656"/>
      <c r="N19" s="657"/>
      <c r="O19" s="682"/>
      <c r="P19" s="683"/>
      <c r="Q19" s="661"/>
      <c r="R19" s="661"/>
      <c r="S19" s="661"/>
      <c r="T19" s="662"/>
      <c r="U19" s="656"/>
      <c r="V19" s="656"/>
      <c r="W19" s="656"/>
      <c r="X19" s="656"/>
      <c r="Y19" s="656"/>
      <c r="Z19" s="670"/>
      <c r="AA19" s="670"/>
      <c r="AB19" s="671"/>
      <c r="AC19" s="654"/>
      <c r="AD19" s="654"/>
      <c r="AE19" s="671"/>
      <c r="AF19" s="688"/>
      <c r="AG19" s="688"/>
      <c r="AH19" s="689"/>
      <c r="AI19" s="688"/>
      <c r="AJ19" s="688"/>
      <c r="AK19" s="671"/>
      <c r="AL19" s="656"/>
      <c r="AM19" s="656"/>
      <c r="AN19" s="656"/>
      <c r="AO19" s="656"/>
      <c r="AP19" s="656"/>
      <c r="AQ19" s="656"/>
      <c r="AR19" s="656"/>
      <c r="AS19" s="669"/>
      <c r="AT19" s="665"/>
      <c r="AU19" s="666"/>
      <c r="AV19" s="667"/>
      <c r="AW19" s="667"/>
      <c r="AX19" s="667"/>
      <c r="AY19" s="653"/>
      <c r="AZ19" s="668"/>
      <c r="BA19" s="655"/>
      <c r="BB19" s="656"/>
      <c r="BC19" s="656"/>
      <c r="BD19" s="656"/>
      <c r="BE19" s="656"/>
      <c r="BF19" s="656"/>
      <c r="BG19" s="656"/>
      <c r="BH19" s="657"/>
      <c r="BI19" s="630"/>
      <c r="BJ19" s="653"/>
      <c r="BK19" s="654"/>
      <c r="BL19" s="654"/>
      <c r="BM19" s="668"/>
      <c r="BN19" s="655"/>
      <c r="BO19" s="656"/>
      <c r="BP19" s="656"/>
      <c r="BQ19" s="656"/>
      <c r="BR19" s="656"/>
      <c r="BS19" s="656"/>
      <c r="BT19" s="656"/>
      <c r="BU19" s="657"/>
      <c r="BV19" s="658"/>
      <c r="BW19" s="659"/>
      <c r="BX19" s="656"/>
      <c r="BY19" s="656"/>
      <c r="BZ19" s="656"/>
      <c r="CA19" s="657"/>
      <c r="CB19" s="656"/>
      <c r="CC19" s="656"/>
      <c r="CD19" s="656"/>
      <c r="CE19" s="656"/>
      <c r="CF19" s="656"/>
      <c r="CG19" s="670"/>
      <c r="CH19" s="670"/>
      <c r="CI19" s="671"/>
      <c r="CJ19" s="654"/>
      <c r="CK19" s="654"/>
      <c r="CL19" s="671"/>
      <c r="CM19" s="688"/>
      <c r="CN19" s="688"/>
      <c r="CO19" s="689"/>
      <c r="CP19" s="688"/>
      <c r="CQ19" s="688"/>
      <c r="CR19" s="671"/>
      <c r="CS19" s="656"/>
      <c r="CT19" s="656"/>
      <c r="CU19" s="656"/>
      <c r="CV19" s="656"/>
      <c r="CW19" s="656"/>
      <c r="CX19" s="656"/>
      <c r="CY19" s="656"/>
      <c r="CZ19" s="669"/>
      <c r="DA19" s="665"/>
      <c r="DB19" s="666"/>
      <c r="DC19" s="667"/>
      <c r="DD19" s="667"/>
      <c r="DE19" s="667"/>
      <c r="DF19" s="653"/>
      <c r="DG19" s="668"/>
      <c r="DH19" s="655"/>
      <c r="DI19" s="656"/>
      <c r="DJ19" s="656"/>
      <c r="DK19" s="656"/>
      <c r="DL19" s="656"/>
      <c r="DM19" s="656"/>
      <c r="DN19" s="656"/>
      <c r="DO19" s="657"/>
      <c r="DP19" s="633"/>
      <c r="DQ19" s="634"/>
    </row>
    <row r="20" spans="1:121" ht="21" customHeight="1" x14ac:dyDescent="0.15">
      <c r="A20" s="652">
        <f t="shared" si="0"/>
        <v>14</v>
      </c>
      <c r="B20" s="626"/>
      <c r="C20" s="653"/>
      <c r="D20" s="654"/>
      <c r="E20" s="654"/>
      <c r="F20" s="668"/>
      <c r="G20" s="655"/>
      <c r="H20" s="656"/>
      <c r="I20" s="656"/>
      <c r="J20" s="656"/>
      <c r="K20" s="656"/>
      <c r="L20" s="656"/>
      <c r="M20" s="656"/>
      <c r="N20" s="657"/>
      <c r="O20" s="658"/>
      <c r="P20" s="659"/>
      <c r="Q20" s="656"/>
      <c r="R20" s="656"/>
      <c r="S20" s="656"/>
      <c r="T20" s="657"/>
      <c r="U20" s="661"/>
      <c r="V20" s="693"/>
      <c r="W20" s="693"/>
      <c r="X20" s="694"/>
      <c r="Y20" s="656"/>
      <c r="Z20" s="670"/>
      <c r="AA20" s="670"/>
      <c r="AB20" s="671"/>
      <c r="AC20" s="656"/>
      <c r="AD20" s="656"/>
      <c r="AE20" s="656"/>
      <c r="AF20" s="673"/>
      <c r="AG20" s="673"/>
      <c r="AH20" s="673"/>
      <c r="AI20" s="656"/>
      <c r="AJ20" s="670"/>
      <c r="AK20" s="670"/>
      <c r="AL20" s="671"/>
      <c r="AM20" s="656"/>
      <c r="AN20" s="656"/>
      <c r="AO20" s="656"/>
      <c r="AP20" s="656"/>
      <c r="AQ20" s="656"/>
      <c r="AR20" s="663"/>
      <c r="AS20" s="669"/>
      <c r="AT20" s="665"/>
      <c r="AU20" s="666"/>
      <c r="AV20" s="685"/>
      <c r="AW20" s="667"/>
      <c r="AX20" s="686"/>
      <c r="AY20" s="653"/>
      <c r="AZ20" s="668"/>
      <c r="BA20" s="655"/>
      <c r="BB20" s="656"/>
      <c r="BC20" s="656"/>
      <c r="BD20" s="656"/>
      <c r="BE20" s="656"/>
      <c r="BF20" s="656"/>
      <c r="BG20" s="656"/>
      <c r="BH20" s="657"/>
      <c r="BI20" s="630"/>
      <c r="BJ20" s="653"/>
      <c r="BK20" s="654"/>
      <c r="BL20" s="654"/>
      <c r="BM20" s="668"/>
      <c r="BN20" s="655"/>
      <c r="BO20" s="656"/>
      <c r="BP20" s="656"/>
      <c r="BQ20" s="656"/>
      <c r="BR20" s="656"/>
      <c r="BS20" s="656"/>
      <c r="BT20" s="656"/>
      <c r="BU20" s="657"/>
      <c r="BV20" s="658"/>
      <c r="BW20" s="659"/>
      <c r="BX20" s="656"/>
      <c r="BY20" s="656"/>
      <c r="BZ20" s="656"/>
      <c r="CA20" s="657"/>
      <c r="CB20" s="661"/>
      <c r="CC20" s="693"/>
      <c r="CD20" s="693"/>
      <c r="CE20" s="694"/>
      <c r="CF20" s="656"/>
      <c r="CG20" s="670"/>
      <c r="CH20" s="670"/>
      <c r="CI20" s="671"/>
      <c r="CJ20" s="656"/>
      <c r="CK20" s="656"/>
      <c r="CL20" s="656"/>
      <c r="CM20" s="673"/>
      <c r="CN20" s="673"/>
      <c r="CO20" s="673"/>
      <c r="CP20" s="656"/>
      <c r="CQ20" s="670"/>
      <c r="CR20" s="670"/>
      <c r="CS20" s="671"/>
      <c r="CT20" s="656"/>
      <c r="CU20" s="656"/>
      <c r="CV20" s="656"/>
      <c r="CW20" s="656"/>
      <c r="CX20" s="656"/>
      <c r="CY20" s="663"/>
      <c r="CZ20" s="669"/>
      <c r="DA20" s="665"/>
      <c r="DB20" s="666"/>
      <c r="DC20" s="685"/>
      <c r="DD20" s="667"/>
      <c r="DE20" s="686"/>
      <c r="DF20" s="653"/>
      <c r="DG20" s="668"/>
      <c r="DH20" s="655"/>
      <c r="DI20" s="656"/>
      <c r="DJ20" s="656"/>
      <c r="DK20" s="656"/>
      <c r="DL20" s="656"/>
      <c r="DM20" s="656"/>
      <c r="DN20" s="656"/>
      <c r="DO20" s="657"/>
      <c r="DP20" s="633"/>
      <c r="DQ20" s="634"/>
    </row>
    <row r="21" spans="1:121" ht="21" customHeight="1" x14ac:dyDescent="0.15">
      <c r="A21" s="652">
        <f t="shared" si="0"/>
        <v>15</v>
      </c>
      <c r="B21" s="626"/>
      <c r="C21" s="653"/>
      <c r="D21" s="654"/>
      <c r="E21" s="654"/>
      <c r="F21" s="668"/>
      <c r="G21" s="655"/>
      <c r="H21" s="656"/>
      <c r="I21" s="656"/>
      <c r="J21" s="656"/>
      <c r="K21" s="656"/>
      <c r="L21" s="656"/>
      <c r="M21" s="656"/>
      <c r="N21" s="657"/>
      <c r="O21" s="658"/>
      <c r="P21" s="659"/>
      <c r="Q21" s="656"/>
      <c r="R21" s="656"/>
      <c r="S21" s="656"/>
      <c r="T21" s="657"/>
      <c r="U21" s="656"/>
      <c r="V21" s="673"/>
      <c r="W21" s="673"/>
      <c r="X21" s="673"/>
      <c r="Y21" s="656"/>
      <c r="Z21" s="688"/>
      <c r="AA21" s="688"/>
      <c r="AB21" s="671"/>
      <c r="AC21" s="654"/>
      <c r="AD21" s="654"/>
      <c r="AE21" s="671"/>
      <c r="AF21" s="688"/>
      <c r="AG21" s="688"/>
      <c r="AH21" s="689"/>
      <c r="AI21" s="688"/>
      <c r="AJ21" s="688"/>
      <c r="AK21" s="671"/>
      <c r="AL21" s="656"/>
      <c r="AM21" s="656"/>
      <c r="AN21" s="656"/>
      <c r="AO21" s="656"/>
      <c r="AP21" s="656"/>
      <c r="AQ21" s="656"/>
      <c r="AR21" s="656"/>
      <c r="AS21" s="669"/>
      <c r="AT21" s="665"/>
      <c r="AU21" s="666"/>
      <c r="AV21" s="681"/>
      <c r="AW21" s="681"/>
      <c r="AX21" s="681"/>
      <c r="AY21" s="653"/>
      <c r="AZ21" s="668"/>
      <c r="BA21" s="692"/>
      <c r="BB21" s="656"/>
      <c r="BC21" s="656"/>
      <c r="BD21" s="656"/>
      <c r="BE21" s="656"/>
      <c r="BF21" s="656"/>
      <c r="BG21" s="656"/>
      <c r="BH21" s="657"/>
      <c r="BI21" s="630"/>
      <c r="BJ21" s="653"/>
      <c r="BK21" s="654"/>
      <c r="BL21" s="654"/>
      <c r="BM21" s="668"/>
      <c r="BN21" s="655"/>
      <c r="BO21" s="656"/>
      <c r="BP21" s="656"/>
      <c r="BQ21" s="656"/>
      <c r="BR21" s="656"/>
      <c r="BS21" s="656"/>
      <c r="BT21" s="656"/>
      <c r="BU21" s="657"/>
      <c r="BV21" s="658"/>
      <c r="BW21" s="659"/>
      <c r="BX21" s="656"/>
      <c r="BY21" s="656"/>
      <c r="BZ21" s="656"/>
      <c r="CA21" s="657"/>
      <c r="CB21" s="656"/>
      <c r="CC21" s="673"/>
      <c r="CD21" s="673"/>
      <c r="CE21" s="673"/>
      <c r="CF21" s="656"/>
      <c r="CG21" s="688"/>
      <c r="CH21" s="688"/>
      <c r="CI21" s="671"/>
      <c r="CJ21" s="654"/>
      <c r="CK21" s="654"/>
      <c r="CL21" s="671"/>
      <c r="CM21" s="688"/>
      <c r="CN21" s="688"/>
      <c r="CO21" s="689"/>
      <c r="CP21" s="688"/>
      <c r="CQ21" s="688"/>
      <c r="CR21" s="671"/>
      <c r="CS21" s="656"/>
      <c r="CT21" s="656"/>
      <c r="CU21" s="656"/>
      <c r="CV21" s="656"/>
      <c r="CW21" s="656"/>
      <c r="CX21" s="656"/>
      <c r="CY21" s="656"/>
      <c r="CZ21" s="669"/>
      <c r="DA21" s="665"/>
      <c r="DB21" s="666"/>
      <c r="DC21" s="681"/>
      <c r="DD21" s="681"/>
      <c r="DE21" s="681"/>
      <c r="DF21" s="653"/>
      <c r="DG21" s="668"/>
      <c r="DH21" s="692"/>
      <c r="DI21" s="656"/>
      <c r="DJ21" s="656"/>
      <c r="DK21" s="656"/>
      <c r="DL21" s="656"/>
      <c r="DM21" s="656"/>
      <c r="DN21" s="656"/>
      <c r="DO21" s="657"/>
      <c r="DP21" s="633"/>
      <c r="DQ21" s="634"/>
    </row>
    <row r="22" spans="1:121" ht="21" customHeight="1" x14ac:dyDescent="0.15">
      <c r="A22" s="652">
        <f t="shared" si="0"/>
        <v>16</v>
      </c>
      <c r="B22" s="626"/>
      <c r="C22" s="653"/>
      <c r="D22" s="654"/>
      <c r="E22" s="654"/>
      <c r="F22" s="668"/>
      <c r="G22" s="655"/>
      <c r="H22" s="656"/>
      <c r="I22" s="656"/>
      <c r="J22" s="656"/>
      <c r="K22" s="656"/>
      <c r="L22" s="656"/>
      <c r="M22" s="656"/>
      <c r="N22" s="657"/>
      <c r="O22" s="658"/>
      <c r="P22" s="659"/>
      <c r="Q22" s="656"/>
      <c r="R22" s="656"/>
      <c r="S22" s="656"/>
      <c r="T22" s="657"/>
      <c r="U22" s="661"/>
      <c r="V22" s="693"/>
      <c r="W22" s="693"/>
      <c r="X22" s="694"/>
      <c r="Y22" s="656"/>
      <c r="Z22" s="670"/>
      <c r="AA22" s="670"/>
      <c r="AB22" s="671"/>
      <c r="AC22" s="656"/>
      <c r="AD22" s="656"/>
      <c r="AE22" s="656"/>
      <c r="AF22" s="673"/>
      <c r="AG22" s="673"/>
      <c r="AH22" s="673"/>
      <c r="AI22" s="656"/>
      <c r="AJ22" s="670"/>
      <c r="AK22" s="670"/>
      <c r="AL22" s="671"/>
      <c r="AM22" s="656"/>
      <c r="AN22" s="656"/>
      <c r="AO22" s="656"/>
      <c r="AP22" s="656"/>
      <c r="AQ22" s="656"/>
      <c r="AR22" s="656"/>
      <c r="AS22" s="695"/>
      <c r="AT22" s="665"/>
      <c r="AU22" s="666"/>
      <c r="AV22" s="685"/>
      <c r="AW22" s="667"/>
      <c r="AX22" s="686"/>
      <c r="AY22" s="653"/>
      <c r="AZ22" s="668"/>
      <c r="BA22" s="655"/>
      <c r="BB22" s="656"/>
      <c r="BC22" s="656"/>
      <c r="BD22" s="656"/>
      <c r="BE22" s="656"/>
      <c r="BF22" s="656"/>
      <c r="BG22" s="656"/>
      <c r="BH22" s="657"/>
      <c r="BI22" s="630"/>
      <c r="BJ22" s="653"/>
      <c r="BK22" s="654"/>
      <c r="BL22" s="654"/>
      <c r="BM22" s="668"/>
      <c r="BN22" s="655"/>
      <c r="BO22" s="656"/>
      <c r="BP22" s="656"/>
      <c r="BQ22" s="656"/>
      <c r="BR22" s="656"/>
      <c r="BS22" s="656"/>
      <c r="BT22" s="656"/>
      <c r="BU22" s="657"/>
      <c r="BV22" s="658"/>
      <c r="BW22" s="659"/>
      <c r="BX22" s="656"/>
      <c r="BY22" s="656"/>
      <c r="BZ22" s="656"/>
      <c r="CA22" s="657"/>
      <c r="CB22" s="661"/>
      <c r="CC22" s="693"/>
      <c r="CD22" s="693"/>
      <c r="CE22" s="694"/>
      <c r="CF22" s="656"/>
      <c r="CG22" s="670"/>
      <c r="CH22" s="670"/>
      <c r="CI22" s="671"/>
      <c r="CJ22" s="656"/>
      <c r="CK22" s="656"/>
      <c r="CL22" s="656"/>
      <c r="CM22" s="673"/>
      <c r="CN22" s="673"/>
      <c r="CO22" s="673"/>
      <c r="CP22" s="656"/>
      <c r="CQ22" s="670"/>
      <c r="CR22" s="670"/>
      <c r="CS22" s="671"/>
      <c r="CT22" s="656"/>
      <c r="CU22" s="656"/>
      <c r="CV22" s="656"/>
      <c r="CW22" s="656"/>
      <c r="CX22" s="656"/>
      <c r="CY22" s="656"/>
      <c r="CZ22" s="669"/>
      <c r="DA22" s="665"/>
      <c r="DB22" s="666"/>
      <c r="DC22" s="685"/>
      <c r="DD22" s="667"/>
      <c r="DE22" s="686"/>
      <c r="DF22" s="653"/>
      <c r="DG22" s="668"/>
      <c r="DH22" s="655"/>
      <c r="DI22" s="656"/>
      <c r="DJ22" s="656"/>
      <c r="DK22" s="656"/>
      <c r="DL22" s="656"/>
      <c r="DM22" s="656"/>
      <c r="DN22" s="656"/>
      <c r="DO22" s="657"/>
      <c r="DP22" s="633"/>
      <c r="DQ22" s="634"/>
    </row>
    <row r="23" spans="1:121" ht="21" customHeight="1" x14ac:dyDescent="0.15">
      <c r="A23" s="652">
        <f t="shared" si="0"/>
        <v>17</v>
      </c>
      <c r="B23" s="626"/>
      <c r="C23" s="653"/>
      <c r="D23" s="654"/>
      <c r="E23" s="654"/>
      <c r="F23" s="654"/>
      <c r="G23" s="655"/>
      <c r="H23" s="656"/>
      <c r="I23" s="656"/>
      <c r="J23" s="656"/>
      <c r="K23" s="656"/>
      <c r="L23" s="656"/>
      <c r="M23" s="656"/>
      <c r="N23" s="657"/>
      <c r="O23" s="658"/>
      <c r="P23" s="659"/>
      <c r="Q23" s="660"/>
      <c r="R23" s="661"/>
      <c r="S23" s="661"/>
      <c r="T23" s="662"/>
      <c r="U23" s="656"/>
      <c r="V23" s="656"/>
      <c r="W23" s="656"/>
      <c r="X23" s="656"/>
      <c r="Y23" s="656"/>
      <c r="Z23" s="656"/>
      <c r="AA23" s="656"/>
      <c r="AB23" s="656"/>
      <c r="AC23" s="656"/>
      <c r="AD23" s="656"/>
      <c r="AE23" s="656"/>
      <c r="AF23" s="656"/>
      <c r="AG23" s="656"/>
      <c r="AH23" s="656"/>
      <c r="AI23" s="656"/>
      <c r="AJ23" s="656"/>
      <c r="AK23" s="656"/>
      <c r="AL23" s="656"/>
      <c r="AM23" s="656"/>
      <c r="AN23" s="656"/>
      <c r="AO23" s="656"/>
      <c r="AP23" s="656"/>
      <c r="AQ23" s="656"/>
      <c r="AR23" s="663"/>
      <c r="AS23" s="669"/>
      <c r="AT23" s="665"/>
      <c r="AU23" s="666"/>
      <c r="AV23" s="667"/>
      <c r="AW23" s="667"/>
      <c r="AX23" s="667"/>
      <c r="AY23" s="653"/>
      <c r="AZ23" s="668"/>
      <c r="BA23" s="655"/>
      <c r="BB23" s="656"/>
      <c r="BC23" s="656"/>
      <c r="BD23" s="656"/>
      <c r="BE23" s="656"/>
      <c r="BF23" s="656"/>
      <c r="BG23" s="656"/>
      <c r="BH23" s="657"/>
      <c r="BI23" s="630"/>
      <c r="BJ23" s="653"/>
      <c r="BK23" s="654"/>
      <c r="BL23" s="654"/>
      <c r="BM23" s="654"/>
      <c r="BN23" s="655"/>
      <c r="BO23" s="656"/>
      <c r="BP23" s="656"/>
      <c r="BQ23" s="656"/>
      <c r="BR23" s="656"/>
      <c r="BS23" s="656"/>
      <c r="BT23" s="656"/>
      <c r="BU23" s="657"/>
      <c r="BV23" s="658"/>
      <c r="BW23" s="659"/>
      <c r="BX23" s="660"/>
      <c r="BY23" s="661"/>
      <c r="BZ23" s="661"/>
      <c r="CA23" s="662"/>
      <c r="CB23" s="656"/>
      <c r="CC23" s="656"/>
      <c r="CD23" s="656"/>
      <c r="CE23" s="656"/>
      <c r="CF23" s="656"/>
      <c r="CG23" s="656"/>
      <c r="CH23" s="656"/>
      <c r="CI23" s="656"/>
      <c r="CJ23" s="656"/>
      <c r="CK23" s="656"/>
      <c r="CL23" s="656"/>
      <c r="CM23" s="656"/>
      <c r="CN23" s="656"/>
      <c r="CO23" s="656"/>
      <c r="CP23" s="656"/>
      <c r="CQ23" s="656"/>
      <c r="CR23" s="656"/>
      <c r="CS23" s="656"/>
      <c r="CT23" s="656"/>
      <c r="CU23" s="656"/>
      <c r="CV23" s="656"/>
      <c r="CW23" s="656"/>
      <c r="CX23" s="656"/>
      <c r="CY23" s="663"/>
      <c r="CZ23" s="669"/>
      <c r="DA23" s="665"/>
      <c r="DB23" s="666"/>
      <c r="DC23" s="667"/>
      <c r="DD23" s="667"/>
      <c r="DE23" s="667"/>
      <c r="DF23" s="653"/>
      <c r="DG23" s="668"/>
      <c r="DH23" s="655"/>
      <c r="DI23" s="656"/>
      <c r="DJ23" s="656"/>
      <c r="DK23" s="656"/>
      <c r="DL23" s="656"/>
      <c r="DM23" s="656"/>
      <c r="DN23" s="656"/>
      <c r="DO23" s="657"/>
      <c r="DP23" s="633"/>
      <c r="DQ23" s="634"/>
    </row>
    <row r="24" spans="1:121" ht="21" customHeight="1" x14ac:dyDescent="0.15">
      <c r="A24" s="652">
        <f t="shared" si="0"/>
        <v>18</v>
      </c>
      <c r="B24" s="626"/>
      <c r="C24" s="653"/>
      <c r="D24" s="654"/>
      <c r="E24" s="654"/>
      <c r="F24" s="654"/>
      <c r="G24" s="655"/>
      <c r="H24" s="656"/>
      <c r="I24" s="656"/>
      <c r="J24" s="656"/>
      <c r="K24" s="656"/>
      <c r="L24" s="656"/>
      <c r="M24" s="656"/>
      <c r="N24" s="657"/>
      <c r="O24" s="658"/>
      <c r="P24" s="659"/>
      <c r="Q24" s="656"/>
      <c r="R24" s="656"/>
      <c r="S24" s="656"/>
      <c r="T24" s="657"/>
      <c r="U24" s="656"/>
      <c r="V24" s="656"/>
      <c r="W24" s="656"/>
      <c r="X24" s="656"/>
      <c r="Y24" s="656"/>
      <c r="Z24" s="656"/>
      <c r="AA24" s="656"/>
      <c r="AB24" s="656"/>
      <c r="AC24" s="656"/>
      <c r="AD24" s="656"/>
      <c r="AE24" s="656"/>
      <c r="AF24" s="656"/>
      <c r="AG24" s="656"/>
      <c r="AH24" s="656"/>
      <c r="AI24" s="656"/>
      <c r="AJ24" s="656"/>
      <c r="AK24" s="656"/>
      <c r="AL24" s="656"/>
      <c r="AM24" s="656"/>
      <c r="AN24" s="656"/>
      <c r="AO24" s="656"/>
      <c r="AP24" s="656"/>
      <c r="AQ24" s="656"/>
      <c r="AR24" s="663"/>
      <c r="AS24" s="669"/>
      <c r="AT24" s="665"/>
      <c r="AU24" s="666"/>
      <c r="AV24" s="667"/>
      <c r="AW24" s="667"/>
      <c r="AX24" s="667"/>
      <c r="AY24" s="653"/>
      <c r="AZ24" s="668"/>
      <c r="BA24" s="655"/>
      <c r="BB24" s="656"/>
      <c r="BC24" s="656"/>
      <c r="BD24" s="656"/>
      <c r="BE24" s="656"/>
      <c r="BF24" s="656"/>
      <c r="BG24" s="656"/>
      <c r="BH24" s="657"/>
      <c r="BI24" s="630"/>
      <c r="BJ24" s="653"/>
      <c r="BK24" s="654"/>
      <c r="BL24" s="654"/>
      <c r="BM24" s="654"/>
      <c r="BN24" s="655"/>
      <c r="BO24" s="656"/>
      <c r="BP24" s="656"/>
      <c r="BQ24" s="656"/>
      <c r="BR24" s="656"/>
      <c r="BS24" s="656"/>
      <c r="BT24" s="656"/>
      <c r="BU24" s="657"/>
      <c r="BV24" s="658"/>
      <c r="BW24" s="659"/>
      <c r="BX24" s="656"/>
      <c r="BY24" s="656"/>
      <c r="BZ24" s="656"/>
      <c r="CA24" s="657"/>
      <c r="CB24" s="656"/>
      <c r="CC24" s="656"/>
      <c r="CD24" s="656"/>
      <c r="CE24" s="656"/>
      <c r="CF24" s="656"/>
      <c r="CG24" s="656"/>
      <c r="CH24" s="656"/>
      <c r="CI24" s="656"/>
      <c r="CJ24" s="656"/>
      <c r="CK24" s="656"/>
      <c r="CL24" s="656"/>
      <c r="CM24" s="656"/>
      <c r="CN24" s="656"/>
      <c r="CO24" s="656"/>
      <c r="CP24" s="656"/>
      <c r="CQ24" s="656"/>
      <c r="CR24" s="656"/>
      <c r="CS24" s="656"/>
      <c r="CT24" s="656"/>
      <c r="CU24" s="656"/>
      <c r="CV24" s="656"/>
      <c r="CW24" s="656"/>
      <c r="CX24" s="656"/>
      <c r="CY24" s="663"/>
      <c r="CZ24" s="669"/>
      <c r="DA24" s="665"/>
      <c r="DB24" s="666"/>
      <c r="DC24" s="667"/>
      <c r="DD24" s="667"/>
      <c r="DE24" s="667"/>
      <c r="DF24" s="653"/>
      <c r="DG24" s="668"/>
      <c r="DH24" s="655"/>
      <c r="DI24" s="656"/>
      <c r="DJ24" s="656"/>
      <c r="DK24" s="656"/>
      <c r="DL24" s="656"/>
      <c r="DM24" s="656"/>
      <c r="DN24" s="656"/>
      <c r="DO24" s="657"/>
      <c r="DP24" s="633"/>
      <c r="DQ24" s="634"/>
    </row>
    <row r="25" spans="1:121" ht="21" customHeight="1" x14ac:dyDescent="0.15">
      <c r="A25" s="652">
        <f t="shared" si="0"/>
        <v>19</v>
      </c>
      <c r="B25" s="626"/>
      <c r="C25" s="653"/>
      <c r="D25" s="654"/>
      <c r="E25" s="654"/>
      <c r="F25" s="654"/>
      <c r="G25" s="655"/>
      <c r="H25" s="656"/>
      <c r="I25" s="656"/>
      <c r="J25" s="656"/>
      <c r="K25" s="656"/>
      <c r="L25" s="656"/>
      <c r="M25" s="656"/>
      <c r="N25" s="657"/>
      <c r="O25" s="658"/>
      <c r="P25" s="659"/>
      <c r="Q25" s="656"/>
      <c r="R25" s="656"/>
      <c r="S25" s="656"/>
      <c r="T25" s="657"/>
      <c r="U25" s="656"/>
      <c r="V25" s="656"/>
      <c r="W25" s="656"/>
      <c r="X25" s="656"/>
      <c r="Y25" s="656"/>
      <c r="Z25" s="670"/>
      <c r="AA25" s="670"/>
      <c r="AB25" s="671"/>
      <c r="AC25" s="672"/>
      <c r="AD25" s="656"/>
      <c r="AE25" s="656"/>
      <c r="AF25" s="673"/>
      <c r="AG25" s="673"/>
      <c r="AH25" s="674"/>
      <c r="AI25" s="674"/>
      <c r="AJ25" s="663"/>
      <c r="AK25" s="672"/>
      <c r="AL25" s="663"/>
      <c r="AM25" s="672"/>
      <c r="AN25" s="675"/>
      <c r="AO25" s="675"/>
      <c r="AP25" s="656"/>
      <c r="AQ25" s="656"/>
      <c r="AR25" s="663"/>
      <c r="AS25" s="669"/>
      <c r="AT25" s="665"/>
      <c r="AU25" s="666"/>
      <c r="AV25" s="667"/>
      <c r="AW25" s="667"/>
      <c r="AX25" s="667"/>
      <c r="AY25" s="653"/>
      <c r="AZ25" s="668"/>
      <c r="BA25" s="676"/>
      <c r="BB25" s="656"/>
      <c r="BC25" s="656"/>
      <c r="BD25" s="656"/>
      <c r="BE25" s="656"/>
      <c r="BF25" s="656"/>
      <c r="BG25" s="656"/>
      <c r="BH25" s="657"/>
      <c r="BI25" s="630"/>
      <c r="BJ25" s="653"/>
      <c r="BK25" s="654"/>
      <c r="BL25" s="654"/>
      <c r="BM25" s="654"/>
      <c r="BN25" s="655"/>
      <c r="BO25" s="656"/>
      <c r="BP25" s="656"/>
      <c r="BQ25" s="656"/>
      <c r="BR25" s="656"/>
      <c r="BS25" s="656"/>
      <c r="BT25" s="656"/>
      <c r="BU25" s="657"/>
      <c r="BV25" s="658"/>
      <c r="BW25" s="659"/>
      <c r="BX25" s="656"/>
      <c r="BY25" s="656"/>
      <c r="BZ25" s="656"/>
      <c r="CA25" s="657"/>
      <c r="CB25" s="656"/>
      <c r="CC25" s="656"/>
      <c r="CD25" s="656"/>
      <c r="CE25" s="656"/>
      <c r="CF25" s="656"/>
      <c r="CG25" s="670"/>
      <c r="CH25" s="670"/>
      <c r="CI25" s="671"/>
      <c r="CJ25" s="672"/>
      <c r="CK25" s="656"/>
      <c r="CL25" s="656"/>
      <c r="CM25" s="673"/>
      <c r="CN25" s="673"/>
      <c r="CO25" s="674"/>
      <c r="CP25" s="674"/>
      <c r="CQ25" s="663"/>
      <c r="CR25" s="672"/>
      <c r="CS25" s="663"/>
      <c r="CT25" s="672"/>
      <c r="CU25" s="675"/>
      <c r="CV25" s="675"/>
      <c r="CW25" s="656"/>
      <c r="CX25" s="656"/>
      <c r="CY25" s="663"/>
      <c r="CZ25" s="669"/>
      <c r="DA25" s="665"/>
      <c r="DB25" s="666"/>
      <c r="DC25" s="667"/>
      <c r="DD25" s="667"/>
      <c r="DE25" s="667"/>
      <c r="DF25" s="653"/>
      <c r="DG25" s="668"/>
      <c r="DH25" s="676"/>
      <c r="DI25" s="656"/>
      <c r="DJ25" s="656"/>
      <c r="DK25" s="656"/>
      <c r="DL25" s="656"/>
      <c r="DM25" s="656"/>
      <c r="DN25" s="656"/>
      <c r="DO25" s="657"/>
      <c r="DP25" s="633"/>
      <c r="DQ25" s="634"/>
    </row>
    <row r="26" spans="1:121" ht="21" customHeight="1" x14ac:dyDescent="0.15">
      <c r="A26" s="652">
        <f t="shared" si="0"/>
        <v>20</v>
      </c>
      <c r="B26" s="626"/>
      <c r="C26" s="653"/>
      <c r="D26" s="654"/>
      <c r="E26" s="654"/>
      <c r="F26" s="654"/>
      <c r="G26" s="655"/>
      <c r="H26" s="656"/>
      <c r="I26" s="656"/>
      <c r="J26" s="656"/>
      <c r="K26" s="656"/>
      <c r="L26" s="656"/>
      <c r="M26" s="656"/>
      <c r="N26" s="657"/>
      <c r="O26" s="658"/>
      <c r="P26" s="659"/>
      <c r="Q26" s="656"/>
      <c r="R26" s="656"/>
      <c r="S26" s="656"/>
      <c r="T26" s="657"/>
      <c r="U26" s="656"/>
      <c r="V26" s="656"/>
      <c r="W26" s="656"/>
      <c r="X26" s="656"/>
      <c r="Y26" s="656"/>
      <c r="Z26" s="670"/>
      <c r="AA26" s="670"/>
      <c r="AB26" s="671"/>
      <c r="AC26" s="656"/>
      <c r="AD26" s="656"/>
      <c r="AE26" s="656"/>
      <c r="AF26" s="656"/>
      <c r="AG26" s="656"/>
      <c r="AH26" s="656"/>
      <c r="AI26" s="656"/>
      <c r="AJ26" s="670"/>
      <c r="AK26" s="670"/>
      <c r="AL26" s="671"/>
      <c r="AM26" s="677"/>
      <c r="AN26" s="677"/>
      <c r="AO26" s="678"/>
      <c r="AP26" s="656"/>
      <c r="AQ26" s="656"/>
      <c r="AR26" s="663"/>
      <c r="AS26" s="669"/>
      <c r="AT26" s="665"/>
      <c r="AU26" s="666"/>
      <c r="AV26" s="667"/>
      <c r="AW26" s="667"/>
      <c r="AX26" s="667"/>
      <c r="AY26" s="653"/>
      <c r="AZ26" s="668"/>
      <c r="BA26" s="655"/>
      <c r="BB26" s="656"/>
      <c r="BC26" s="656"/>
      <c r="BD26" s="656"/>
      <c r="BE26" s="656"/>
      <c r="BF26" s="656"/>
      <c r="BG26" s="656"/>
      <c r="BH26" s="657"/>
      <c r="BI26" s="630"/>
      <c r="BJ26" s="653"/>
      <c r="BK26" s="654"/>
      <c r="BL26" s="654"/>
      <c r="BM26" s="654"/>
      <c r="BN26" s="655"/>
      <c r="BO26" s="656"/>
      <c r="BP26" s="656"/>
      <c r="BQ26" s="656"/>
      <c r="BR26" s="656"/>
      <c r="BS26" s="656"/>
      <c r="BT26" s="656"/>
      <c r="BU26" s="657"/>
      <c r="BV26" s="658"/>
      <c r="BW26" s="659"/>
      <c r="BX26" s="656"/>
      <c r="BY26" s="656"/>
      <c r="BZ26" s="656"/>
      <c r="CA26" s="657"/>
      <c r="CB26" s="656"/>
      <c r="CC26" s="656"/>
      <c r="CD26" s="656"/>
      <c r="CE26" s="656"/>
      <c r="CF26" s="656"/>
      <c r="CG26" s="670"/>
      <c r="CH26" s="670"/>
      <c r="CI26" s="671"/>
      <c r="CJ26" s="656"/>
      <c r="CK26" s="656"/>
      <c r="CL26" s="656"/>
      <c r="CM26" s="656"/>
      <c r="CN26" s="656"/>
      <c r="CO26" s="656"/>
      <c r="CP26" s="656"/>
      <c r="CQ26" s="670"/>
      <c r="CR26" s="670"/>
      <c r="CS26" s="671"/>
      <c r="CT26" s="677"/>
      <c r="CU26" s="677"/>
      <c r="CV26" s="678"/>
      <c r="CW26" s="656"/>
      <c r="CX26" s="656"/>
      <c r="CY26" s="663"/>
      <c r="CZ26" s="669"/>
      <c r="DA26" s="665"/>
      <c r="DB26" s="666"/>
      <c r="DC26" s="667"/>
      <c r="DD26" s="667"/>
      <c r="DE26" s="667"/>
      <c r="DF26" s="653"/>
      <c r="DG26" s="668"/>
      <c r="DH26" s="655"/>
      <c r="DI26" s="656"/>
      <c r="DJ26" s="656"/>
      <c r="DK26" s="656"/>
      <c r="DL26" s="656"/>
      <c r="DM26" s="656"/>
      <c r="DN26" s="656"/>
      <c r="DO26" s="657"/>
      <c r="DP26" s="633"/>
      <c r="DQ26" s="634"/>
    </row>
    <row r="27" spans="1:121" ht="21" customHeight="1" x14ac:dyDescent="0.15">
      <c r="A27" s="652">
        <f t="shared" si="0"/>
        <v>21</v>
      </c>
      <c r="B27" s="626"/>
      <c r="C27" s="653"/>
      <c r="D27" s="654"/>
      <c r="E27" s="654"/>
      <c r="F27" s="654"/>
      <c r="G27" s="655"/>
      <c r="H27" s="656"/>
      <c r="I27" s="656"/>
      <c r="J27" s="656"/>
      <c r="K27" s="656"/>
      <c r="L27" s="656"/>
      <c r="M27" s="656"/>
      <c r="N27" s="657"/>
      <c r="O27" s="658"/>
      <c r="P27" s="659"/>
      <c r="Q27" s="656"/>
      <c r="R27" s="656"/>
      <c r="S27" s="656"/>
      <c r="T27" s="657"/>
      <c r="U27" s="656"/>
      <c r="V27" s="656"/>
      <c r="W27" s="656"/>
      <c r="X27" s="656"/>
      <c r="Y27" s="656"/>
      <c r="Z27" s="656"/>
      <c r="AA27" s="656"/>
      <c r="AB27" s="667"/>
      <c r="AC27" s="667"/>
      <c r="AD27" s="671"/>
      <c r="AE27" s="679"/>
      <c r="AF27" s="679"/>
      <c r="AG27" s="680"/>
      <c r="AH27" s="656"/>
      <c r="AI27" s="656"/>
      <c r="AJ27" s="681"/>
      <c r="AK27" s="681"/>
      <c r="AL27" s="671"/>
      <c r="AM27" s="679"/>
      <c r="AN27" s="679"/>
      <c r="AO27" s="656"/>
      <c r="AP27" s="656"/>
      <c r="AQ27" s="656"/>
      <c r="AR27" s="663"/>
      <c r="AS27" s="669"/>
      <c r="AT27" s="665"/>
      <c r="AU27" s="666"/>
      <c r="AV27" s="667"/>
      <c r="AW27" s="667"/>
      <c r="AX27" s="667"/>
      <c r="AY27" s="653"/>
      <c r="AZ27" s="668"/>
      <c r="BA27" s="655"/>
      <c r="BB27" s="656"/>
      <c r="BC27" s="656"/>
      <c r="BD27" s="656"/>
      <c r="BE27" s="656"/>
      <c r="BF27" s="656"/>
      <c r="BG27" s="656"/>
      <c r="BH27" s="657"/>
      <c r="BI27" s="630"/>
      <c r="BJ27" s="653"/>
      <c r="BK27" s="654"/>
      <c r="BL27" s="654"/>
      <c r="BM27" s="654"/>
      <c r="BN27" s="655"/>
      <c r="BO27" s="656"/>
      <c r="BP27" s="656"/>
      <c r="BQ27" s="656"/>
      <c r="BR27" s="656"/>
      <c r="BS27" s="656"/>
      <c r="BT27" s="656"/>
      <c r="BU27" s="657"/>
      <c r="BV27" s="658"/>
      <c r="BW27" s="659"/>
      <c r="BX27" s="656"/>
      <c r="BY27" s="656"/>
      <c r="BZ27" s="656"/>
      <c r="CA27" s="657"/>
      <c r="CB27" s="656"/>
      <c r="CC27" s="656"/>
      <c r="CD27" s="656"/>
      <c r="CE27" s="656"/>
      <c r="CF27" s="656"/>
      <c r="CG27" s="656"/>
      <c r="CH27" s="656"/>
      <c r="CI27" s="667"/>
      <c r="CJ27" s="667"/>
      <c r="CK27" s="671"/>
      <c r="CL27" s="679"/>
      <c r="CM27" s="679"/>
      <c r="CN27" s="680"/>
      <c r="CO27" s="656"/>
      <c r="CP27" s="656"/>
      <c r="CQ27" s="681"/>
      <c r="CR27" s="681"/>
      <c r="CS27" s="671"/>
      <c r="CT27" s="679"/>
      <c r="CU27" s="679"/>
      <c r="CV27" s="656"/>
      <c r="CW27" s="656"/>
      <c r="CX27" s="656"/>
      <c r="CY27" s="663"/>
      <c r="CZ27" s="669"/>
      <c r="DA27" s="665"/>
      <c r="DB27" s="666"/>
      <c r="DC27" s="667"/>
      <c r="DD27" s="667"/>
      <c r="DE27" s="667"/>
      <c r="DF27" s="653"/>
      <c r="DG27" s="668"/>
      <c r="DH27" s="655"/>
      <c r="DI27" s="656"/>
      <c r="DJ27" s="656"/>
      <c r="DK27" s="656"/>
      <c r="DL27" s="656"/>
      <c r="DM27" s="656"/>
      <c r="DN27" s="656"/>
      <c r="DO27" s="657"/>
      <c r="DP27" s="633"/>
      <c r="DQ27" s="634"/>
    </row>
    <row r="28" spans="1:121" ht="21" customHeight="1" x14ac:dyDescent="0.15">
      <c r="A28" s="652">
        <f t="shared" si="0"/>
        <v>22</v>
      </c>
      <c r="B28" s="626"/>
      <c r="C28" s="653"/>
      <c r="D28" s="654"/>
      <c r="E28" s="654"/>
      <c r="F28" s="654"/>
      <c r="G28" s="655"/>
      <c r="H28" s="656"/>
      <c r="I28" s="656"/>
      <c r="J28" s="656"/>
      <c r="K28" s="656"/>
      <c r="L28" s="656"/>
      <c r="M28" s="656"/>
      <c r="N28" s="657"/>
      <c r="O28" s="658"/>
      <c r="P28" s="659"/>
      <c r="Q28" s="656"/>
      <c r="R28" s="656"/>
      <c r="S28" s="656"/>
      <c r="T28" s="657"/>
      <c r="U28" s="656"/>
      <c r="V28" s="656"/>
      <c r="W28" s="656"/>
      <c r="X28" s="656"/>
      <c r="Y28" s="656"/>
      <c r="Z28" s="656"/>
      <c r="AA28" s="656"/>
      <c r="AB28" s="656"/>
      <c r="AC28" s="656"/>
      <c r="AD28" s="656"/>
      <c r="AE28" s="675"/>
      <c r="AF28" s="675"/>
      <c r="AG28" s="671"/>
      <c r="AH28" s="656"/>
      <c r="AI28" s="656"/>
      <c r="AJ28" s="656"/>
      <c r="AK28" s="656"/>
      <c r="AL28" s="656"/>
      <c r="AM28" s="675"/>
      <c r="AN28" s="675"/>
      <c r="AO28" s="656"/>
      <c r="AP28" s="656"/>
      <c r="AQ28" s="656"/>
      <c r="AR28" s="656"/>
      <c r="AS28" s="669"/>
      <c r="AT28" s="665"/>
      <c r="AU28" s="666"/>
      <c r="AV28" s="667"/>
      <c r="AW28" s="667"/>
      <c r="AX28" s="667"/>
      <c r="AY28" s="653"/>
      <c r="AZ28" s="668"/>
      <c r="BA28" s="655"/>
      <c r="BB28" s="656"/>
      <c r="BC28" s="656"/>
      <c r="BD28" s="656"/>
      <c r="BE28" s="656"/>
      <c r="BF28" s="656"/>
      <c r="BG28" s="656"/>
      <c r="BH28" s="657"/>
      <c r="BI28" s="630"/>
      <c r="BJ28" s="653"/>
      <c r="BK28" s="654"/>
      <c r="BL28" s="654"/>
      <c r="BM28" s="654"/>
      <c r="BN28" s="655"/>
      <c r="BO28" s="656"/>
      <c r="BP28" s="656"/>
      <c r="BQ28" s="656"/>
      <c r="BR28" s="656"/>
      <c r="BS28" s="656"/>
      <c r="BT28" s="656"/>
      <c r="BU28" s="657"/>
      <c r="BV28" s="658"/>
      <c r="BW28" s="659"/>
      <c r="BX28" s="656"/>
      <c r="BY28" s="656"/>
      <c r="BZ28" s="656"/>
      <c r="CA28" s="657"/>
      <c r="CB28" s="656"/>
      <c r="CC28" s="656"/>
      <c r="CD28" s="656"/>
      <c r="CE28" s="656"/>
      <c r="CF28" s="656"/>
      <c r="CG28" s="656"/>
      <c r="CH28" s="656"/>
      <c r="CI28" s="656"/>
      <c r="CJ28" s="656"/>
      <c r="CK28" s="656"/>
      <c r="CL28" s="675"/>
      <c r="CM28" s="675"/>
      <c r="CN28" s="671"/>
      <c r="CO28" s="656"/>
      <c r="CP28" s="656"/>
      <c r="CQ28" s="656"/>
      <c r="CR28" s="656"/>
      <c r="CS28" s="656"/>
      <c r="CT28" s="675"/>
      <c r="CU28" s="675"/>
      <c r="CV28" s="656"/>
      <c r="CW28" s="656"/>
      <c r="CX28" s="656"/>
      <c r="CY28" s="656"/>
      <c r="CZ28" s="669"/>
      <c r="DA28" s="665"/>
      <c r="DB28" s="666"/>
      <c r="DC28" s="667"/>
      <c r="DD28" s="667"/>
      <c r="DE28" s="667"/>
      <c r="DF28" s="653"/>
      <c r="DG28" s="668"/>
      <c r="DH28" s="655"/>
      <c r="DI28" s="656"/>
      <c r="DJ28" s="656"/>
      <c r="DK28" s="656"/>
      <c r="DL28" s="656"/>
      <c r="DM28" s="656"/>
      <c r="DN28" s="656"/>
      <c r="DO28" s="657"/>
      <c r="DP28" s="633"/>
      <c r="DQ28" s="634"/>
    </row>
    <row r="29" spans="1:121" ht="21" customHeight="1" x14ac:dyDescent="0.15">
      <c r="A29" s="652">
        <f t="shared" si="0"/>
        <v>23</v>
      </c>
      <c r="B29" s="626"/>
      <c r="C29" s="653"/>
      <c r="D29" s="654"/>
      <c r="E29" s="654"/>
      <c r="F29" s="668"/>
      <c r="G29" s="655"/>
      <c r="H29" s="656"/>
      <c r="I29" s="656"/>
      <c r="J29" s="656"/>
      <c r="K29" s="656"/>
      <c r="L29" s="656"/>
      <c r="M29" s="656"/>
      <c r="N29" s="657"/>
      <c r="O29" s="682"/>
      <c r="P29" s="683"/>
      <c r="Q29" s="661"/>
      <c r="R29" s="661"/>
      <c r="S29" s="661"/>
      <c r="T29" s="662"/>
      <c r="U29" s="656"/>
      <c r="V29" s="656"/>
      <c r="W29" s="656"/>
      <c r="X29" s="656"/>
      <c r="Y29" s="656"/>
      <c r="Z29" s="684"/>
      <c r="AA29" s="656"/>
      <c r="AB29" s="656"/>
      <c r="AC29" s="656"/>
      <c r="AD29" s="656"/>
      <c r="AE29" s="656"/>
      <c r="AF29" s="656"/>
      <c r="AG29" s="656"/>
      <c r="AH29" s="656"/>
      <c r="AI29" s="672"/>
      <c r="AJ29" s="672"/>
      <c r="AK29" s="663"/>
      <c r="AL29" s="672"/>
      <c r="AM29" s="656"/>
      <c r="AN29" s="656"/>
      <c r="AO29" s="656"/>
      <c r="AP29" s="656"/>
      <c r="AQ29" s="656"/>
      <c r="AR29" s="663"/>
      <c r="AS29" s="669"/>
      <c r="AT29" s="665"/>
      <c r="AU29" s="666"/>
      <c r="AV29" s="685"/>
      <c r="AW29" s="667"/>
      <c r="AX29" s="686"/>
      <c r="AY29" s="653"/>
      <c r="AZ29" s="668"/>
      <c r="BA29" s="655"/>
      <c r="BB29" s="656"/>
      <c r="BC29" s="656"/>
      <c r="BD29" s="656"/>
      <c r="BE29" s="656"/>
      <c r="BF29" s="656"/>
      <c r="BG29" s="656"/>
      <c r="BH29" s="657"/>
      <c r="BI29" s="630"/>
      <c r="BJ29" s="653"/>
      <c r="BK29" s="654"/>
      <c r="BL29" s="654"/>
      <c r="BM29" s="668"/>
      <c r="BN29" s="655"/>
      <c r="BO29" s="656"/>
      <c r="BP29" s="656"/>
      <c r="BQ29" s="656"/>
      <c r="BR29" s="656"/>
      <c r="BS29" s="656"/>
      <c r="BT29" s="656"/>
      <c r="BU29" s="657"/>
      <c r="BV29" s="682"/>
      <c r="BW29" s="683"/>
      <c r="BX29" s="661"/>
      <c r="BY29" s="661"/>
      <c r="BZ29" s="661"/>
      <c r="CA29" s="662"/>
      <c r="CB29" s="656"/>
      <c r="CC29" s="656"/>
      <c r="CD29" s="656"/>
      <c r="CE29" s="656"/>
      <c r="CF29" s="656"/>
      <c r="CG29" s="684"/>
      <c r="CH29" s="656"/>
      <c r="CI29" s="656"/>
      <c r="CJ29" s="656"/>
      <c r="CK29" s="656"/>
      <c r="CL29" s="656"/>
      <c r="CM29" s="656"/>
      <c r="CN29" s="656"/>
      <c r="CO29" s="656"/>
      <c r="CP29" s="672"/>
      <c r="CQ29" s="672"/>
      <c r="CR29" s="663"/>
      <c r="CS29" s="672"/>
      <c r="CT29" s="656"/>
      <c r="CU29" s="656"/>
      <c r="CV29" s="656"/>
      <c r="CW29" s="656"/>
      <c r="CX29" s="656"/>
      <c r="CY29" s="663"/>
      <c r="CZ29" s="669"/>
      <c r="DA29" s="665"/>
      <c r="DB29" s="666"/>
      <c r="DC29" s="685"/>
      <c r="DD29" s="667"/>
      <c r="DE29" s="686"/>
      <c r="DF29" s="653"/>
      <c r="DG29" s="668"/>
      <c r="DH29" s="655"/>
      <c r="DI29" s="656"/>
      <c r="DJ29" s="656"/>
      <c r="DK29" s="656"/>
      <c r="DL29" s="656"/>
      <c r="DM29" s="656"/>
      <c r="DN29" s="656"/>
      <c r="DO29" s="657"/>
      <c r="DP29" s="633"/>
      <c r="DQ29" s="634"/>
    </row>
    <row r="30" spans="1:121" ht="21" customHeight="1" x14ac:dyDescent="0.15">
      <c r="A30" s="652">
        <f t="shared" si="0"/>
        <v>24</v>
      </c>
      <c r="B30" s="626"/>
      <c r="C30" s="653"/>
      <c r="D30" s="654"/>
      <c r="E30" s="654"/>
      <c r="F30" s="668"/>
      <c r="G30" s="655"/>
      <c r="H30" s="656"/>
      <c r="I30" s="656"/>
      <c r="J30" s="656"/>
      <c r="K30" s="656"/>
      <c r="L30" s="656"/>
      <c r="M30" s="656"/>
      <c r="N30" s="657"/>
      <c r="O30" s="658"/>
      <c r="P30" s="659"/>
      <c r="Q30" s="656"/>
      <c r="R30" s="656"/>
      <c r="S30" s="656"/>
      <c r="T30" s="657"/>
      <c r="U30" s="656"/>
      <c r="V30" s="656"/>
      <c r="W30" s="656"/>
      <c r="X30" s="656"/>
      <c r="Y30" s="656"/>
      <c r="Z30" s="656"/>
      <c r="AA30" s="656"/>
      <c r="AB30" s="656"/>
      <c r="AC30" s="656"/>
      <c r="AD30" s="656"/>
      <c r="AE30" s="656"/>
      <c r="AF30" s="656"/>
      <c r="AG30" s="656"/>
      <c r="AH30" s="656"/>
      <c r="AI30" s="656"/>
      <c r="AJ30" s="687"/>
      <c r="AK30" s="687"/>
      <c r="AL30" s="687"/>
      <c r="AM30" s="687"/>
      <c r="AN30" s="687"/>
      <c r="AO30" s="656"/>
      <c r="AP30" s="656"/>
      <c r="AQ30" s="656"/>
      <c r="AR30" s="663"/>
      <c r="AS30" s="669"/>
      <c r="AT30" s="665"/>
      <c r="AU30" s="666"/>
      <c r="AV30" s="685"/>
      <c r="AW30" s="667"/>
      <c r="AX30" s="686"/>
      <c r="AY30" s="653"/>
      <c r="AZ30" s="668"/>
      <c r="BA30" s="655"/>
      <c r="BB30" s="656"/>
      <c r="BC30" s="656"/>
      <c r="BD30" s="656"/>
      <c r="BE30" s="656"/>
      <c r="BF30" s="656"/>
      <c r="BG30" s="656"/>
      <c r="BH30" s="657"/>
      <c r="BI30" s="630"/>
      <c r="BJ30" s="653"/>
      <c r="BK30" s="654"/>
      <c r="BL30" s="654"/>
      <c r="BM30" s="668"/>
      <c r="BN30" s="655"/>
      <c r="BO30" s="656"/>
      <c r="BP30" s="656"/>
      <c r="BQ30" s="656"/>
      <c r="BR30" s="656"/>
      <c r="BS30" s="656"/>
      <c r="BT30" s="656"/>
      <c r="BU30" s="657"/>
      <c r="BV30" s="658"/>
      <c r="BW30" s="659"/>
      <c r="BX30" s="656"/>
      <c r="BY30" s="656"/>
      <c r="BZ30" s="656"/>
      <c r="CA30" s="657"/>
      <c r="CB30" s="656"/>
      <c r="CC30" s="656"/>
      <c r="CD30" s="656"/>
      <c r="CE30" s="656"/>
      <c r="CF30" s="656"/>
      <c r="CG30" s="656"/>
      <c r="CH30" s="656"/>
      <c r="CI30" s="656"/>
      <c r="CJ30" s="656"/>
      <c r="CK30" s="656"/>
      <c r="CL30" s="656"/>
      <c r="CM30" s="656"/>
      <c r="CN30" s="656"/>
      <c r="CO30" s="656"/>
      <c r="CP30" s="656"/>
      <c r="CQ30" s="687"/>
      <c r="CR30" s="687"/>
      <c r="CS30" s="687"/>
      <c r="CT30" s="687"/>
      <c r="CU30" s="687"/>
      <c r="CV30" s="656"/>
      <c r="CW30" s="656"/>
      <c r="CX30" s="656"/>
      <c r="CY30" s="663"/>
      <c r="CZ30" s="669"/>
      <c r="DA30" s="665"/>
      <c r="DB30" s="666"/>
      <c r="DC30" s="685"/>
      <c r="DD30" s="667"/>
      <c r="DE30" s="686"/>
      <c r="DF30" s="653"/>
      <c r="DG30" s="668"/>
      <c r="DH30" s="655"/>
      <c r="DI30" s="656"/>
      <c r="DJ30" s="656"/>
      <c r="DK30" s="656"/>
      <c r="DL30" s="656"/>
      <c r="DM30" s="656"/>
      <c r="DN30" s="656"/>
      <c r="DO30" s="657"/>
      <c r="DP30" s="633"/>
      <c r="DQ30" s="634"/>
    </row>
    <row r="31" spans="1:121" ht="21" customHeight="1" x14ac:dyDescent="0.15">
      <c r="A31" s="652">
        <f t="shared" si="0"/>
        <v>25</v>
      </c>
      <c r="B31" s="626"/>
      <c r="C31" s="653"/>
      <c r="D31" s="654"/>
      <c r="E31" s="654"/>
      <c r="F31" s="668"/>
      <c r="G31" s="655"/>
      <c r="H31" s="656"/>
      <c r="I31" s="656"/>
      <c r="J31" s="656"/>
      <c r="K31" s="656"/>
      <c r="L31" s="656"/>
      <c r="M31" s="656"/>
      <c r="N31" s="657"/>
      <c r="O31" s="658"/>
      <c r="P31" s="659"/>
      <c r="Q31" s="656"/>
      <c r="R31" s="656"/>
      <c r="S31" s="656"/>
      <c r="T31" s="657"/>
      <c r="U31" s="656"/>
      <c r="V31" s="673"/>
      <c r="W31" s="673"/>
      <c r="X31" s="673"/>
      <c r="Y31" s="656"/>
      <c r="Z31" s="688"/>
      <c r="AA31" s="688"/>
      <c r="AB31" s="671"/>
      <c r="AC31" s="654"/>
      <c r="AD31" s="654"/>
      <c r="AE31" s="671"/>
      <c r="AF31" s="688"/>
      <c r="AG31" s="688"/>
      <c r="AH31" s="689"/>
      <c r="AI31" s="688"/>
      <c r="AJ31" s="688"/>
      <c r="AK31" s="671"/>
      <c r="AL31" s="671"/>
      <c r="AM31" s="671"/>
      <c r="AN31" s="671"/>
      <c r="AO31" s="656"/>
      <c r="AP31" s="656"/>
      <c r="AQ31" s="656"/>
      <c r="AR31" s="663"/>
      <c r="AS31" s="669"/>
      <c r="AT31" s="665"/>
      <c r="AU31" s="666"/>
      <c r="AV31" s="685"/>
      <c r="AW31" s="667"/>
      <c r="AX31" s="686"/>
      <c r="AY31" s="653"/>
      <c r="AZ31" s="668"/>
      <c r="BA31" s="655"/>
      <c r="BB31" s="656"/>
      <c r="BC31" s="656"/>
      <c r="BD31" s="656"/>
      <c r="BE31" s="656"/>
      <c r="BF31" s="656"/>
      <c r="BG31" s="656"/>
      <c r="BH31" s="657"/>
      <c r="BI31" s="630"/>
      <c r="BJ31" s="653"/>
      <c r="BK31" s="654"/>
      <c r="BL31" s="654"/>
      <c r="BM31" s="668"/>
      <c r="BN31" s="655"/>
      <c r="BO31" s="656"/>
      <c r="BP31" s="656"/>
      <c r="BQ31" s="656"/>
      <c r="BR31" s="656"/>
      <c r="BS31" s="656"/>
      <c r="BT31" s="656"/>
      <c r="BU31" s="657"/>
      <c r="BV31" s="658"/>
      <c r="BW31" s="659"/>
      <c r="BX31" s="656"/>
      <c r="BY31" s="656"/>
      <c r="BZ31" s="656"/>
      <c r="CA31" s="657"/>
      <c r="CB31" s="656"/>
      <c r="CC31" s="673"/>
      <c r="CD31" s="673"/>
      <c r="CE31" s="673"/>
      <c r="CF31" s="656"/>
      <c r="CG31" s="688"/>
      <c r="CH31" s="688"/>
      <c r="CI31" s="671"/>
      <c r="CJ31" s="654"/>
      <c r="CK31" s="654"/>
      <c r="CL31" s="671"/>
      <c r="CM31" s="688"/>
      <c r="CN31" s="688"/>
      <c r="CO31" s="689"/>
      <c r="CP31" s="688"/>
      <c r="CQ31" s="688"/>
      <c r="CR31" s="671"/>
      <c r="CS31" s="671"/>
      <c r="CT31" s="671"/>
      <c r="CU31" s="671"/>
      <c r="CV31" s="656"/>
      <c r="CW31" s="656"/>
      <c r="CX31" s="656"/>
      <c r="CY31" s="663"/>
      <c r="CZ31" s="669"/>
      <c r="DA31" s="665"/>
      <c r="DB31" s="666"/>
      <c r="DC31" s="685"/>
      <c r="DD31" s="667"/>
      <c r="DE31" s="686"/>
      <c r="DF31" s="653"/>
      <c r="DG31" s="668"/>
      <c r="DH31" s="655"/>
      <c r="DI31" s="656"/>
      <c r="DJ31" s="656"/>
      <c r="DK31" s="656"/>
      <c r="DL31" s="656"/>
      <c r="DM31" s="656"/>
      <c r="DN31" s="656"/>
      <c r="DO31" s="657"/>
      <c r="DP31" s="633"/>
      <c r="DQ31" s="634"/>
    </row>
    <row r="32" spans="1:121" ht="21" customHeight="1" x14ac:dyDescent="0.15">
      <c r="A32" s="652">
        <f t="shared" si="0"/>
        <v>26</v>
      </c>
      <c r="B32" s="626"/>
      <c r="C32" s="653"/>
      <c r="D32" s="654"/>
      <c r="E32" s="654"/>
      <c r="F32" s="668"/>
      <c r="G32" s="655"/>
      <c r="H32" s="656"/>
      <c r="I32" s="656"/>
      <c r="J32" s="656"/>
      <c r="K32" s="656"/>
      <c r="L32" s="656"/>
      <c r="M32" s="656"/>
      <c r="N32" s="657"/>
      <c r="O32" s="658"/>
      <c r="P32" s="659"/>
      <c r="Q32" s="656"/>
      <c r="R32" s="656"/>
      <c r="S32" s="656"/>
      <c r="T32" s="657"/>
      <c r="U32" s="656"/>
      <c r="V32" s="656"/>
      <c r="W32" s="656"/>
      <c r="X32" s="656"/>
      <c r="Y32" s="656"/>
      <c r="Z32" s="671"/>
      <c r="AA32" s="656"/>
      <c r="AB32" s="656"/>
      <c r="AC32" s="656"/>
      <c r="AD32" s="656"/>
      <c r="AE32" s="656"/>
      <c r="AF32" s="656"/>
      <c r="AG32" s="656"/>
      <c r="AH32" s="656"/>
      <c r="AI32" s="656"/>
      <c r="AJ32" s="656"/>
      <c r="AK32" s="656"/>
      <c r="AL32" s="656"/>
      <c r="AM32" s="656"/>
      <c r="AN32" s="656"/>
      <c r="AO32" s="656"/>
      <c r="AP32" s="656"/>
      <c r="AQ32" s="656"/>
      <c r="AR32" s="663"/>
      <c r="AS32" s="669"/>
      <c r="AT32" s="665"/>
      <c r="AU32" s="666"/>
      <c r="AV32" s="685"/>
      <c r="AW32" s="667"/>
      <c r="AX32" s="686"/>
      <c r="AY32" s="653"/>
      <c r="AZ32" s="668"/>
      <c r="BA32" s="655"/>
      <c r="BB32" s="656"/>
      <c r="BC32" s="656"/>
      <c r="BD32" s="656"/>
      <c r="BE32" s="656"/>
      <c r="BF32" s="656"/>
      <c r="BG32" s="656"/>
      <c r="BH32" s="657"/>
      <c r="BI32" s="630"/>
      <c r="BJ32" s="653"/>
      <c r="BK32" s="654"/>
      <c r="BL32" s="654"/>
      <c r="BM32" s="654"/>
      <c r="BN32" s="655"/>
      <c r="BO32" s="656"/>
      <c r="BP32" s="656"/>
      <c r="BQ32" s="656"/>
      <c r="BR32" s="656"/>
      <c r="BS32" s="656"/>
      <c r="BT32" s="656"/>
      <c r="BU32" s="657"/>
      <c r="BV32" s="658"/>
      <c r="BW32" s="659"/>
      <c r="BX32" s="656"/>
      <c r="BY32" s="656"/>
      <c r="BZ32" s="656"/>
      <c r="CA32" s="657"/>
      <c r="CB32" s="656"/>
      <c r="CC32" s="656"/>
      <c r="CD32" s="656"/>
      <c r="CE32" s="656"/>
      <c r="CF32" s="656"/>
      <c r="CG32" s="656"/>
      <c r="CH32" s="656"/>
      <c r="CI32" s="656"/>
      <c r="CJ32" s="656"/>
      <c r="CK32" s="656"/>
      <c r="CL32" s="675"/>
      <c r="CM32" s="675"/>
      <c r="CN32" s="671"/>
      <c r="CO32" s="656"/>
      <c r="CP32" s="656"/>
      <c r="CQ32" s="656"/>
      <c r="CR32" s="656"/>
      <c r="CS32" s="656"/>
      <c r="CT32" s="675"/>
      <c r="CU32" s="675"/>
      <c r="CV32" s="656"/>
      <c r="CW32" s="656"/>
      <c r="CX32" s="656"/>
      <c r="CY32" s="656"/>
      <c r="CZ32" s="669"/>
      <c r="DA32" s="665"/>
      <c r="DB32" s="666"/>
      <c r="DC32" s="667"/>
      <c r="DD32" s="667"/>
      <c r="DE32" s="667"/>
      <c r="DF32" s="653"/>
      <c r="DG32" s="668"/>
      <c r="DH32" s="655"/>
      <c r="DI32" s="656"/>
      <c r="DJ32" s="656"/>
      <c r="DK32" s="656"/>
      <c r="DL32" s="656"/>
      <c r="DM32" s="656"/>
      <c r="DN32" s="656"/>
      <c r="DO32" s="657"/>
      <c r="DP32" s="633"/>
      <c r="DQ32" s="634"/>
    </row>
    <row r="33" spans="1:121" ht="21" customHeight="1" x14ac:dyDescent="0.15">
      <c r="A33" s="652">
        <f t="shared" si="0"/>
        <v>27</v>
      </c>
      <c r="B33" s="626"/>
      <c r="C33" s="653"/>
      <c r="D33" s="654"/>
      <c r="E33" s="654"/>
      <c r="F33" s="668"/>
      <c r="G33" s="655"/>
      <c r="H33" s="656"/>
      <c r="I33" s="656"/>
      <c r="J33" s="656"/>
      <c r="K33" s="656"/>
      <c r="L33" s="656"/>
      <c r="M33" s="656"/>
      <c r="N33" s="657"/>
      <c r="O33" s="658"/>
      <c r="P33" s="659"/>
      <c r="Q33" s="656"/>
      <c r="R33" s="656"/>
      <c r="S33" s="656"/>
      <c r="T33" s="657"/>
      <c r="U33" s="656"/>
      <c r="V33" s="656"/>
      <c r="W33" s="656"/>
      <c r="X33" s="656"/>
      <c r="Y33" s="656"/>
      <c r="Z33" s="690"/>
      <c r="AA33" s="690"/>
      <c r="AB33" s="690"/>
      <c r="AC33" s="690"/>
      <c r="AD33" s="690"/>
      <c r="AE33" s="656"/>
      <c r="AF33" s="687"/>
      <c r="AG33" s="687"/>
      <c r="AH33" s="687"/>
      <c r="AI33" s="687"/>
      <c r="AJ33" s="656"/>
      <c r="AK33" s="656"/>
      <c r="AL33" s="656"/>
      <c r="AM33" s="656"/>
      <c r="AN33" s="656"/>
      <c r="AO33" s="656"/>
      <c r="AP33" s="656"/>
      <c r="AQ33" s="656"/>
      <c r="AR33" s="656"/>
      <c r="AS33" s="669"/>
      <c r="AT33" s="665"/>
      <c r="AU33" s="666"/>
      <c r="AV33" s="691"/>
      <c r="AW33" s="691"/>
      <c r="AX33" s="691"/>
      <c r="AY33" s="653"/>
      <c r="AZ33" s="668"/>
      <c r="BA33" s="655"/>
      <c r="BB33" s="656"/>
      <c r="BC33" s="656"/>
      <c r="BD33" s="656"/>
      <c r="BE33" s="656"/>
      <c r="BF33" s="656"/>
      <c r="BG33" s="656"/>
      <c r="BH33" s="657"/>
      <c r="BI33" s="630"/>
      <c r="BJ33" s="653"/>
      <c r="BK33" s="654"/>
      <c r="BL33" s="654"/>
      <c r="BM33" s="668"/>
      <c r="BN33" s="655"/>
      <c r="BO33" s="656"/>
      <c r="BP33" s="656"/>
      <c r="BQ33" s="656"/>
      <c r="BR33" s="656"/>
      <c r="BS33" s="656"/>
      <c r="BT33" s="656"/>
      <c r="BU33" s="657"/>
      <c r="BV33" s="658"/>
      <c r="BW33" s="659"/>
      <c r="BX33" s="656"/>
      <c r="BY33" s="656"/>
      <c r="BZ33" s="656"/>
      <c r="CA33" s="657"/>
      <c r="CB33" s="656"/>
      <c r="CC33" s="656"/>
      <c r="CD33" s="656"/>
      <c r="CE33" s="656"/>
      <c r="CF33" s="656"/>
      <c r="CG33" s="690"/>
      <c r="CH33" s="690"/>
      <c r="CI33" s="690"/>
      <c r="CJ33" s="690"/>
      <c r="CK33" s="690"/>
      <c r="CL33" s="656"/>
      <c r="CM33" s="687"/>
      <c r="CN33" s="687"/>
      <c r="CO33" s="687"/>
      <c r="CP33" s="687"/>
      <c r="CQ33" s="656"/>
      <c r="CR33" s="656"/>
      <c r="CS33" s="656"/>
      <c r="CT33" s="656"/>
      <c r="CU33" s="656"/>
      <c r="CV33" s="656"/>
      <c r="CW33" s="656"/>
      <c r="CX33" s="656"/>
      <c r="CY33" s="656"/>
      <c r="CZ33" s="669"/>
      <c r="DA33" s="665"/>
      <c r="DB33" s="666"/>
      <c r="DC33" s="691"/>
      <c r="DD33" s="691"/>
      <c r="DE33" s="691"/>
      <c r="DF33" s="653"/>
      <c r="DG33" s="668"/>
      <c r="DH33" s="692"/>
      <c r="DI33" s="656"/>
      <c r="DJ33" s="656"/>
      <c r="DK33" s="656"/>
      <c r="DL33" s="656"/>
      <c r="DM33" s="656"/>
      <c r="DN33" s="656"/>
      <c r="DO33" s="657"/>
      <c r="DP33" s="633"/>
      <c r="DQ33" s="634"/>
    </row>
    <row r="34" spans="1:121" ht="21" customHeight="1" x14ac:dyDescent="0.15">
      <c r="A34" s="652">
        <f t="shared" si="0"/>
        <v>28</v>
      </c>
      <c r="B34" s="626"/>
      <c r="C34" s="653"/>
      <c r="D34" s="654"/>
      <c r="E34" s="654"/>
      <c r="F34" s="668"/>
      <c r="G34" s="655"/>
      <c r="H34" s="656"/>
      <c r="I34" s="656"/>
      <c r="J34" s="656"/>
      <c r="K34" s="656"/>
      <c r="L34" s="656"/>
      <c r="M34" s="656"/>
      <c r="N34" s="657"/>
      <c r="O34" s="658"/>
      <c r="P34" s="659"/>
      <c r="Q34" s="656"/>
      <c r="R34" s="656"/>
      <c r="S34" s="656"/>
      <c r="T34" s="657"/>
      <c r="U34" s="656"/>
      <c r="V34" s="656"/>
      <c r="W34" s="656"/>
      <c r="X34" s="656"/>
      <c r="Y34" s="656"/>
      <c r="Z34" s="670"/>
      <c r="AA34" s="670"/>
      <c r="AB34" s="671"/>
      <c r="AC34" s="656"/>
      <c r="AD34" s="656"/>
      <c r="AE34" s="656"/>
      <c r="AF34" s="673"/>
      <c r="AG34" s="673"/>
      <c r="AH34" s="673"/>
      <c r="AI34" s="656"/>
      <c r="AJ34" s="670"/>
      <c r="AK34" s="670"/>
      <c r="AL34" s="671"/>
      <c r="AM34" s="656"/>
      <c r="AN34" s="656"/>
      <c r="AO34" s="656"/>
      <c r="AP34" s="656"/>
      <c r="AQ34" s="656"/>
      <c r="AR34" s="656"/>
      <c r="AS34" s="669"/>
      <c r="AT34" s="665"/>
      <c r="AU34" s="666"/>
      <c r="AV34" s="685"/>
      <c r="AW34" s="667"/>
      <c r="AX34" s="686"/>
      <c r="AY34" s="653"/>
      <c r="AZ34" s="668"/>
      <c r="BA34" s="655"/>
      <c r="BB34" s="656"/>
      <c r="BC34" s="656"/>
      <c r="BD34" s="656"/>
      <c r="BE34" s="656"/>
      <c r="BF34" s="656"/>
      <c r="BG34" s="656"/>
      <c r="BH34" s="657"/>
      <c r="BI34" s="630"/>
      <c r="BJ34" s="653"/>
      <c r="BK34" s="654"/>
      <c r="BL34" s="654"/>
      <c r="BM34" s="668"/>
      <c r="BN34" s="655"/>
      <c r="BO34" s="656"/>
      <c r="BP34" s="656"/>
      <c r="BQ34" s="656"/>
      <c r="BR34" s="656"/>
      <c r="BS34" s="656"/>
      <c r="BT34" s="656"/>
      <c r="BU34" s="657"/>
      <c r="BV34" s="658"/>
      <c r="BW34" s="659"/>
      <c r="BX34" s="656"/>
      <c r="BY34" s="656"/>
      <c r="BZ34" s="656"/>
      <c r="CA34" s="657"/>
      <c r="CB34" s="656"/>
      <c r="CC34" s="656"/>
      <c r="CD34" s="656"/>
      <c r="CE34" s="656"/>
      <c r="CF34" s="656"/>
      <c r="CG34" s="670"/>
      <c r="CH34" s="670"/>
      <c r="CI34" s="671"/>
      <c r="CJ34" s="656"/>
      <c r="CK34" s="656"/>
      <c r="CL34" s="656"/>
      <c r="CM34" s="673"/>
      <c r="CN34" s="673"/>
      <c r="CO34" s="673"/>
      <c r="CP34" s="656"/>
      <c r="CQ34" s="670"/>
      <c r="CR34" s="670"/>
      <c r="CS34" s="671"/>
      <c r="CT34" s="656"/>
      <c r="CU34" s="656"/>
      <c r="CV34" s="656"/>
      <c r="CW34" s="656"/>
      <c r="CX34" s="656"/>
      <c r="CY34" s="656"/>
      <c r="CZ34" s="669"/>
      <c r="DA34" s="665"/>
      <c r="DB34" s="666"/>
      <c r="DC34" s="685"/>
      <c r="DD34" s="667"/>
      <c r="DE34" s="686"/>
      <c r="DF34" s="653"/>
      <c r="DG34" s="668"/>
      <c r="DH34" s="655"/>
      <c r="DI34" s="656"/>
      <c r="DJ34" s="656"/>
      <c r="DK34" s="656"/>
      <c r="DL34" s="656"/>
      <c r="DM34" s="656"/>
      <c r="DN34" s="656"/>
      <c r="DO34" s="657"/>
      <c r="DP34" s="633"/>
      <c r="DQ34" s="634"/>
    </row>
    <row r="35" spans="1:121" ht="21" customHeight="1" x14ac:dyDescent="0.15">
      <c r="A35" s="652">
        <f t="shared" si="0"/>
        <v>29</v>
      </c>
      <c r="B35" s="626"/>
      <c r="C35" s="653"/>
      <c r="D35" s="654"/>
      <c r="E35" s="654"/>
      <c r="F35" s="668"/>
      <c r="G35" s="655"/>
      <c r="H35" s="656"/>
      <c r="I35" s="656"/>
      <c r="J35" s="656"/>
      <c r="K35" s="656"/>
      <c r="L35" s="656"/>
      <c r="M35" s="656"/>
      <c r="N35" s="657"/>
      <c r="O35" s="682"/>
      <c r="P35" s="683"/>
      <c r="Q35" s="661"/>
      <c r="R35" s="661"/>
      <c r="S35" s="661"/>
      <c r="T35" s="662"/>
      <c r="U35" s="656"/>
      <c r="V35" s="656"/>
      <c r="W35" s="656"/>
      <c r="X35" s="656"/>
      <c r="Y35" s="656"/>
      <c r="Z35" s="670"/>
      <c r="AA35" s="670"/>
      <c r="AB35" s="671"/>
      <c r="AC35" s="654"/>
      <c r="AD35" s="654"/>
      <c r="AE35" s="671"/>
      <c r="AF35" s="688"/>
      <c r="AG35" s="688"/>
      <c r="AH35" s="689"/>
      <c r="AI35" s="688"/>
      <c r="AJ35" s="688"/>
      <c r="AK35" s="671"/>
      <c r="AL35" s="656"/>
      <c r="AM35" s="656"/>
      <c r="AN35" s="656"/>
      <c r="AO35" s="656"/>
      <c r="AP35" s="656"/>
      <c r="AQ35" s="656"/>
      <c r="AR35" s="656"/>
      <c r="AS35" s="669"/>
      <c r="AT35" s="665"/>
      <c r="AU35" s="666"/>
      <c r="AV35" s="667"/>
      <c r="AW35" s="667"/>
      <c r="AX35" s="667"/>
      <c r="AY35" s="653"/>
      <c r="AZ35" s="668"/>
      <c r="BA35" s="655"/>
      <c r="BB35" s="656"/>
      <c r="BC35" s="656"/>
      <c r="BD35" s="656"/>
      <c r="BE35" s="656"/>
      <c r="BF35" s="656"/>
      <c r="BG35" s="656"/>
      <c r="BH35" s="657"/>
      <c r="BI35" s="630"/>
      <c r="BJ35" s="653"/>
      <c r="BK35" s="654"/>
      <c r="BL35" s="654"/>
      <c r="BM35" s="668"/>
      <c r="BN35" s="655"/>
      <c r="BO35" s="656"/>
      <c r="BP35" s="656"/>
      <c r="BQ35" s="656"/>
      <c r="BR35" s="656"/>
      <c r="BS35" s="656"/>
      <c r="BT35" s="656"/>
      <c r="BU35" s="657"/>
      <c r="BV35" s="658"/>
      <c r="BW35" s="659"/>
      <c r="BX35" s="656"/>
      <c r="BY35" s="656"/>
      <c r="BZ35" s="656"/>
      <c r="CA35" s="657"/>
      <c r="CB35" s="656"/>
      <c r="CC35" s="656"/>
      <c r="CD35" s="656"/>
      <c r="CE35" s="656"/>
      <c r="CF35" s="656"/>
      <c r="CG35" s="670"/>
      <c r="CH35" s="670"/>
      <c r="CI35" s="671"/>
      <c r="CJ35" s="654"/>
      <c r="CK35" s="654"/>
      <c r="CL35" s="671"/>
      <c r="CM35" s="688"/>
      <c r="CN35" s="688"/>
      <c r="CO35" s="689"/>
      <c r="CP35" s="688"/>
      <c r="CQ35" s="688"/>
      <c r="CR35" s="671"/>
      <c r="CS35" s="656"/>
      <c r="CT35" s="656"/>
      <c r="CU35" s="656"/>
      <c r="CV35" s="656"/>
      <c r="CW35" s="656"/>
      <c r="CX35" s="656"/>
      <c r="CY35" s="656"/>
      <c r="CZ35" s="669"/>
      <c r="DA35" s="665"/>
      <c r="DB35" s="666"/>
      <c r="DC35" s="667"/>
      <c r="DD35" s="667"/>
      <c r="DE35" s="667"/>
      <c r="DF35" s="653"/>
      <c r="DG35" s="668"/>
      <c r="DH35" s="655"/>
      <c r="DI35" s="656"/>
      <c r="DJ35" s="656"/>
      <c r="DK35" s="656"/>
      <c r="DL35" s="656"/>
      <c r="DM35" s="656"/>
      <c r="DN35" s="656"/>
      <c r="DO35" s="657"/>
      <c r="DP35" s="633"/>
      <c r="DQ35" s="634"/>
    </row>
    <row r="36" spans="1:121" ht="21" customHeight="1" x14ac:dyDescent="0.15">
      <c r="A36" s="652">
        <f t="shared" si="0"/>
        <v>30</v>
      </c>
      <c r="B36" s="626"/>
      <c r="C36" s="653"/>
      <c r="D36" s="654"/>
      <c r="E36" s="654"/>
      <c r="F36" s="668"/>
      <c r="G36" s="655"/>
      <c r="H36" s="656"/>
      <c r="I36" s="656"/>
      <c r="J36" s="656"/>
      <c r="K36" s="656"/>
      <c r="L36" s="656"/>
      <c r="M36" s="656"/>
      <c r="N36" s="657"/>
      <c r="O36" s="658"/>
      <c r="P36" s="659"/>
      <c r="Q36" s="656"/>
      <c r="R36" s="656"/>
      <c r="S36" s="656"/>
      <c r="T36" s="657"/>
      <c r="U36" s="661"/>
      <c r="V36" s="693"/>
      <c r="W36" s="693"/>
      <c r="X36" s="694"/>
      <c r="Y36" s="656"/>
      <c r="Z36" s="670"/>
      <c r="AA36" s="670"/>
      <c r="AB36" s="671"/>
      <c r="AC36" s="656"/>
      <c r="AD36" s="656"/>
      <c r="AE36" s="656"/>
      <c r="AF36" s="673"/>
      <c r="AG36" s="673"/>
      <c r="AH36" s="673"/>
      <c r="AI36" s="656"/>
      <c r="AJ36" s="670"/>
      <c r="AK36" s="670"/>
      <c r="AL36" s="671"/>
      <c r="AM36" s="656"/>
      <c r="AN36" s="656"/>
      <c r="AO36" s="656"/>
      <c r="AP36" s="656"/>
      <c r="AQ36" s="656"/>
      <c r="AR36" s="663"/>
      <c r="AS36" s="669"/>
      <c r="AT36" s="665"/>
      <c r="AU36" s="666"/>
      <c r="AV36" s="685"/>
      <c r="AW36" s="667"/>
      <c r="AX36" s="686"/>
      <c r="AY36" s="653"/>
      <c r="AZ36" s="668"/>
      <c r="BA36" s="655"/>
      <c r="BB36" s="656"/>
      <c r="BC36" s="656"/>
      <c r="BD36" s="656"/>
      <c r="BE36" s="656"/>
      <c r="BF36" s="656"/>
      <c r="BG36" s="656"/>
      <c r="BH36" s="657"/>
      <c r="BI36" s="630"/>
      <c r="BJ36" s="653"/>
      <c r="BK36" s="654"/>
      <c r="BL36" s="654"/>
      <c r="BM36" s="668"/>
      <c r="BN36" s="655"/>
      <c r="BO36" s="656"/>
      <c r="BP36" s="656"/>
      <c r="BQ36" s="656"/>
      <c r="BR36" s="656"/>
      <c r="BS36" s="656"/>
      <c r="BT36" s="656"/>
      <c r="BU36" s="657"/>
      <c r="BV36" s="658"/>
      <c r="BW36" s="659"/>
      <c r="BX36" s="656"/>
      <c r="BY36" s="656"/>
      <c r="BZ36" s="656"/>
      <c r="CA36" s="657"/>
      <c r="CB36" s="661"/>
      <c r="CC36" s="693"/>
      <c r="CD36" s="693"/>
      <c r="CE36" s="694"/>
      <c r="CF36" s="656"/>
      <c r="CG36" s="670"/>
      <c r="CH36" s="670"/>
      <c r="CI36" s="671"/>
      <c r="CJ36" s="656"/>
      <c r="CK36" s="656"/>
      <c r="CL36" s="656"/>
      <c r="CM36" s="673"/>
      <c r="CN36" s="673"/>
      <c r="CO36" s="673"/>
      <c r="CP36" s="656"/>
      <c r="CQ36" s="670"/>
      <c r="CR36" s="670"/>
      <c r="CS36" s="671"/>
      <c r="CT36" s="656"/>
      <c r="CU36" s="656"/>
      <c r="CV36" s="656"/>
      <c r="CW36" s="656"/>
      <c r="CX36" s="656"/>
      <c r="CY36" s="663"/>
      <c r="CZ36" s="669"/>
      <c r="DA36" s="665"/>
      <c r="DB36" s="666"/>
      <c r="DC36" s="685"/>
      <c r="DD36" s="667"/>
      <c r="DE36" s="686"/>
      <c r="DF36" s="653"/>
      <c r="DG36" s="668"/>
      <c r="DH36" s="655"/>
      <c r="DI36" s="656"/>
      <c r="DJ36" s="656"/>
      <c r="DK36" s="656"/>
      <c r="DL36" s="656"/>
      <c r="DM36" s="656"/>
      <c r="DN36" s="656"/>
      <c r="DO36" s="657"/>
      <c r="DP36" s="633"/>
      <c r="DQ36" s="634"/>
    </row>
    <row r="37" spans="1:121" ht="21" customHeight="1" x14ac:dyDescent="0.15">
      <c r="A37" s="652">
        <f t="shared" si="0"/>
        <v>31</v>
      </c>
      <c r="B37" s="626"/>
      <c r="C37" s="653"/>
      <c r="D37" s="654"/>
      <c r="E37" s="654"/>
      <c r="F37" s="668"/>
      <c r="G37" s="655"/>
      <c r="H37" s="656"/>
      <c r="I37" s="656"/>
      <c r="J37" s="656"/>
      <c r="K37" s="656"/>
      <c r="L37" s="656"/>
      <c r="M37" s="656"/>
      <c r="N37" s="657"/>
      <c r="O37" s="658"/>
      <c r="P37" s="659"/>
      <c r="Q37" s="656"/>
      <c r="R37" s="656"/>
      <c r="S37" s="656"/>
      <c r="T37" s="657"/>
      <c r="U37" s="656"/>
      <c r="V37" s="673"/>
      <c r="W37" s="673"/>
      <c r="X37" s="673"/>
      <c r="Y37" s="656"/>
      <c r="Z37" s="688"/>
      <c r="AA37" s="688"/>
      <c r="AB37" s="671"/>
      <c r="AC37" s="654"/>
      <c r="AD37" s="654"/>
      <c r="AE37" s="671"/>
      <c r="AF37" s="688"/>
      <c r="AG37" s="688"/>
      <c r="AH37" s="689"/>
      <c r="AI37" s="688"/>
      <c r="AJ37" s="688"/>
      <c r="AK37" s="671"/>
      <c r="AL37" s="656"/>
      <c r="AM37" s="656"/>
      <c r="AN37" s="656"/>
      <c r="AO37" s="656"/>
      <c r="AP37" s="656"/>
      <c r="AQ37" s="656"/>
      <c r="AR37" s="656"/>
      <c r="AS37" s="669"/>
      <c r="AT37" s="665"/>
      <c r="AU37" s="666"/>
      <c r="AV37" s="681"/>
      <c r="AW37" s="681"/>
      <c r="AX37" s="681"/>
      <c r="AY37" s="653"/>
      <c r="AZ37" s="668"/>
      <c r="BA37" s="692"/>
      <c r="BB37" s="656"/>
      <c r="BC37" s="656"/>
      <c r="BD37" s="656"/>
      <c r="BE37" s="656"/>
      <c r="BF37" s="656"/>
      <c r="BG37" s="656"/>
      <c r="BH37" s="657"/>
      <c r="BI37" s="630"/>
      <c r="BJ37" s="653"/>
      <c r="BK37" s="654"/>
      <c r="BL37" s="654"/>
      <c r="BM37" s="668"/>
      <c r="BN37" s="655"/>
      <c r="BO37" s="656"/>
      <c r="BP37" s="656"/>
      <c r="BQ37" s="656"/>
      <c r="BR37" s="656"/>
      <c r="BS37" s="656"/>
      <c r="BT37" s="656"/>
      <c r="BU37" s="657"/>
      <c r="BV37" s="658"/>
      <c r="BW37" s="659"/>
      <c r="BX37" s="656"/>
      <c r="BY37" s="656"/>
      <c r="BZ37" s="656"/>
      <c r="CA37" s="657"/>
      <c r="CB37" s="656"/>
      <c r="CC37" s="673"/>
      <c r="CD37" s="673"/>
      <c r="CE37" s="673"/>
      <c r="CF37" s="656"/>
      <c r="CG37" s="688"/>
      <c r="CH37" s="688"/>
      <c r="CI37" s="671"/>
      <c r="CJ37" s="654"/>
      <c r="CK37" s="654"/>
      <c r="CL37" s="671"/>
      <c r="CM37" s="688"/>
      <c r="CN37" s="688"/>
      <c r="CO37" s="689"/>
      <c r="CP37" s="688"/>
      <c r="CQ37" s="688"/>
      <c r="CR37" s="671"/>
      <c r="CS37" s="656"/>
      <c r="CT37" s="656"/>
      <c r="CU37" s="656"/>
      <c r="CV37" s="656"/>
      <c r="CW37" s="656"/>
      <c r="CX37" s="656"/>
      <c r="CY37" s="656"/>
      <c r="CZ37" s="669"/>
      <c r="DA37" s="665"/>
      <c r="DB37" s="666"/>
      <c r="DC37" s="681"/>
      <c r="DD37" s="681"/>
      <c r="DE37" s="681"/>
      <c r="DF37" s="653"/>
      <c r="DG37" s="668"/>
      <c r="DH37" s="692"/>
      <c r="DI37" s="656"/>
      <c r="DJ37" s="656"/>
      <c r="DK37" s="656"/>
      <c r="DL37" s="656"/>
      <c r="DM37" s="656"/>
      <c r="DN37" s="656"/>
      <c r="DO37" s="657"/>
      <c r="DP37" s="633"/>
      <c r="DQ37" s="634"/>
    </row>
    <row r="38" spans="1:121" ht="21" customHeight="1" x14ac:dyDescent="0.15">
      <c r="A38" s="652">
        <f t="shared" si="0"/>
        <v>32</v>
      </c>
      <c r="B38" s="626"/>
      <c r="C38" s="653"/>
      <c r="D38" s="654"/>
      <c r="E38" s="654"/>
      <c r="F38" s="668"/>
      <c r="G38" s="655"/>
      <c r="H38" s="656"/>
      <c r="I38" s="656"/>
      <c r="J38" s="656"/>
      <c r="K38" s="656"/>
      <c r="L38" s="656"/>
      <c r="M38" s="656"/>
      <c r="N38" s="657"/>
      <c r="O38" s="658"/>
      <c r="P38" s="659"/>
      <c r="Q38" s="656"/>
      <c r="R38" s="656"/>
      <c r="S38" s="656"/>
      <c r="T38" s="657"/>
      <c r="U38" s="656"/>
      <c r="V38" s="656"/>
      <c r="W38" s="656"/>
      <c r="X38" s="656"/>
      <c r="Y38" s="656"/>
      <c r="Z38" s="656"/>
      <c r="AA38" s="656"/>
      <c r="AB38" s="656"/>
      <c r="AC38" s="656"/>
      <c r="AD38" s="656"/>
      <c r="AE38" s="656"/>
      <c r="AF38" s="656"/>
      <c r="AG38" s="680"/>
      <c r="AH38" s="656"/>
      <c r="AI38" s="656"/>
      <c r="AJ38" s="656"/>
      <c r="AK38" s="656"/>
      <c r="AL38" s="656"/>
      <c r="AM38" s="656"/>
      <c r="AN38" s="656"/>
      <c r="AO38" s="656"/>
      <c r="AP38" s="656"/>
      <c r="AQ38" s="656"/>
      <c r="AR38" s="663"/>
      <c r="AS38" s="669"/>
      <c r="AT38" s="665"/>
      <c r="AU38" s="666"/>
      <c r="AV38" s="685"/>
      <c r="AW38" s="667"/>
      <c r="AX38" s="686"/>
      <c r="AY38" s="653"/>
      <c r="AZ38" s="668"/>
      <c r="BA38" s="655"/>
      <c r="BB38" s="656"/>
      <c r="BC38" s="656"/>
      <c r="BD38" s="656"/>
      <c r="BE38" s="656"/>
      <c r="BF38" s="656"/>
      <c r="BG38" s="656"/>
      <c r="BH38" s="657"/>
      <c r="BI38" s="630"/>
      <c r="BJ38" s="653"/>
      <c r="BK38" s="654"/>
      <c r="BL38" s="654"/>
      <c r="BM38" s="668"/>
      <c r="BN38" s="655"/>
      <c r="BO38" s="656"/>
      <c r="BP38" s="656"/>
      <c r="BQ38" s="656"/>
      <c r="BR38" s="656"/>
      <c r="BS38" s="656"/>
      <c r="BT38" s="656"/>
      <c r="BU38" s="657"/>
      <c r="BV38" s="658"/>
      <c r="BW38" s="659"/>
      <c r="BX38" s="656"/>
      <c r="BY38" s="656"/>
      <c r="BZ38" s="656"/>
      <c r="CA38" s="657"/>
      <c r="CB38" s="661"/>
      <c r="CC38" s="693"/>
      <c r="CD38" s="693"/>
      <c r="CE38" s="694"/>
      <c r="CF38" s="656"/>
      <c r="CG38" s="670"/>
      <c r="CH38" s="670"/>
      <c r="CI38" s="671"/>
      <c r="CJ38" s="656"/>
      <c r="CK38" s="656"/>
      <c r="CL38" s="656"/>
      <c r="CM38" s="673"/>
      <c r="CN38" s="673"/>
      <c r="CO38" s="673"/>
      <c r="CP38" s="656"/>
      <c r="CQ38" s="670"/>
      <c r="CR38" s="670"/>
      <c r="CS38" s="671"/>
      <c r="CT38" s="656"/>
      <c r="CU38" s="656"/>
      <c r="CV38" s="656"/>
      <c r="CW38" s="656"/>
      <c r="CX38" s="656"/>
      <c r="CY38" s="656"/>
      <c r="CZ38" s="669"/>
      <c r="DA38" s="665"/>
      <c r="DB38" s="666"/>
      <c r="DC38" s="685"/>
      <c r="DD38" s="667"/>
      <c r="DE38" s="686"/>
      <c r="DF38" s="653"/>
      <c r="DG38" s="668"/>
      <c r="DH38" s="655"/>
      <c r="DI38" s="656"/>
      <c r="DJ38" s="656"/>
      <c r="DK38" s="656"/>
      <c r="DL38" s="656"/>
      <c r="DM38" s="656"/>
      <c r="DN38" s="656"/>
      <c r="DO38" s="657"/>
      <c r="DP38" s="633"/>
      <c r="DQ38" s="634"/>
    </row>
    <row r="39" spans="1:121" ht="21" customHeight="1" x14ac:dyDescent="0.15">
      <c r="A39" s="652">
        <f t="shared" si="0"/>
        <v>33</v>
      </c>
      <c r="B39" s="626"/>
      <c r="C39" s="653"/>
      <c r="D39" s="654"/>
      <c r="E39" s="654"/>
      <c r="F39" s="654"/>
      <c r="G39" s="655"/>
      <c r="H39" s="656"/>
      <c r="I39" s="656"/>
      <c r="J39" s="656"/>
      <c r="K39" s="656"/>
      <c r="L39" s="656"/>
      <c r="M39" s="656"/>
      <c r="N39" s="657"/>
      <c r="O39" s="658"/>
      <c r="P39" s="659"/>
      <c r="Q39" s="660"/>
      <c r="R39" s="661"/>
      <c r="S39" s="661"/>
      <c r="T39" s="662"/>
      <c r="U39" s="656"/>
      <c r="V39" s="656"/>
      <c r="W39" s="656"/>
      <c r="X39" s="656"/>
      <c r="Y39" s="656"/>
      <c r="Z39" s="656"/>
      <c r="AA39" s="656"/>
      <c r="AB39" s="656"/>
      <c r="AC39" s="656"/>
      <c r="AD39" s="656"/>
      <c r="AE39" s="656"/>
      <c r="AF39" s="656"/>
      <c r="AG39" s="656"/>
      <c r="AH39" s="656"/>
      <c r="AI39" s="656"/>
      <c r="AJ39" s="656"/>
      <c r="AK39" s="656"/>
      <c r="AL39" s="656"/>
      <c r="AM39" s="656"/>
      <c r="AN39" s="656"/>
      <c r="AO39" s="656"/>
      <c r="AP39" s="656"/>
      <c r="AQ39" s="656"/>
      <c r="AR39" s="663"/>
      <c r="AS39" s="669"/>
      <c r="AT39" s="665"/>
      <c r="AU39" s="666"/>
      <c r="AV39" s="667"/>
      <c r="AW39" s="667"/>
      <c r="AX39" s="667"/>
      <c r="AY39" s="653"/>
      <c r="AZ39" s="668"/>
      <c r="BA39" s="655"/>
      <c r="BB39" s="656"/>
      <c r="BC39" s="656"/>
      <c r="BD39" s="656"/>
      <c r="BE39" s="656"/>
      <c r="BF39" s="656"/>
      <c r="BG39" s="656"/>
      <c r="BH39" s="657"/>
      <c r="BI39" s="630"/>
      <c r="BJ39" s="653"/>
      <c r="BK39" s="654"/>
      <c r="BL39" s="654"/>
      <c r="BM39" s="654"/>
      <c r="BN39" s="655"/>
      <c r="BO39" s="656"/>
      <c r="BP39" s="656"/>
      <c r="BQ39" s="656"/>
      <c r="BR39" s="656"/>
      <c r="BS39" s="656"/>
      <c r="BT39" s="656"/>
      <c r="BU39" s="657"/>
      <c r="BV39" s="658"/>
      <c r="BW39" s="659"/>
      <c r="BX39" s="660"/>
      <c r="BY39" s="661"/>
      <c r="BZ39" s="661"/>
      <c r="CA39" s="662"/>
      <c r="CB39" s="656"/>
      <c r="CC39" s="656"/>
      <c r="CD39" s="656"/>
      <c r="CE39" s="656"/>
      <c r="CF39" s="656"/>
      <c r="CG39" s="656"/>
      <c r="CH39" s="656"/>
      <c r="CI39" s="656"/>
      <c r="CJ39" s="656"/>
      <c r="CK39" s="656"/>
      <c r="CL39" s="656"/>
      <c r="CM39" s="656"/>
      <c r="CN39" s="656"/>
      <c r="CO39" s="656"/>
      <c r="CP39" s="656"/>
      <c r="CQ39" s="656"/>
      <c r="CR39" s="656"/>
      <c r="CS39" s="656"/>
      <c r="CT39" s="656"/>
      <c r="CU39" s="656"/>
      <c r="CV39" s="656"/>
      <c r="CW39" s="656"/>
      <c r="CX39" s="656"/>
      <c r="CY39" s="663"/>
      <c r="CZ39" s="669"/>
      <c r="DA39" s="665"/>
      <c r="DB39" s="666"/>
      <c r="DC39" s="667"/>
      <c r="DD39" s="667"/>
      <c r="DE39" s="667"/>
      <c r="DF39" s="653"/>
      <c r="DG39" s="668"/>
      <c r="DH39" s="655"/>
      <c r="DI39" s="656"/>
      <c r="DJ39" s="656"/>
      <c r="DK39" s="656"/>
      <c r="DL39" s="656"/>
      <c r="DM39" s="656"/>
      <c r="DN39" s="656"/>
      <c r="DO39" s="657"/>
      <c r="DP39" s="633"/>
      <c r="DQ39" s="634"/>
    </row>
    <row r="40" spans="1:121" ht="21" customHeight="1" x14ac:dyDescent="0.15">
      <c r="A40" s="652">
        <f t="shared" si="0"/>
        <v>34</v>
      </c>
      <c r="B40" s="626"/>
      <c r="C40" s="653"/>
      <c r="D40" s="654"/>
      <c r="E40" s="654"/>
      <c r="F40" s="654"/>
      <c r="G40" s="655"/>
      <c r="H40" s="656"/>
      <c r="I40" s="656"/>
      <c r="J40" s="656"/>
      <c r="K40" s="656"/>
      <c r="L40" s="656"/>
      <c r="M40" s="656"/>
      <c r="N40" s="657"/>
      <c r="O40" s="658"/>
      <c r="P40" s="659"/>
      <c r="Q40" s="656"/>
      <c r="R40" s="656"/>
      <c r="S40" s="656"/>
      <c r="T40" s="657"/>
      <c r="U40" s="656"/>
      <c r="V40" s="656"/>
      <c r="W40" s="656"/>
      <c r="X40" s="656"/>
      <c r="Y40" s="656"/>
      <c r="Z40" s="656"/>
      <c r="AA40" s="656"/>
      <c r="AB40" s="656"/>
      <c r="AC40" s="656"/>
      <c r="AD40" s="656"/>
      <c r="AE40" s="656"/>
      <c r="AF40" s="656"/>
      <c r="AG40" s="656"/>
      <c r="AH40" s="656"/>
      <c r="AI40" s="656"/>
      <c r="AJ40" s="656"/>
      <c r="AK40" s="656"/>
      <c r="AL40" s="656"/>
      <c r="AM40" s="656"/>
      <c r="AN40" s="656"/>
      <c r="AO40" s="656"/>
      <c r="AP40" s="656"/>
      <c r="AQ40" s="656"/>
      <c r="AR40" s="663"/>
      <c r="AS40" s="669"/>
      <c r="AT40" s="665"/>
      <c r="AU40" s="666"/>
      <c r="AV40" s="667"/>
      <c r="AW40" s="667"/>
      <c r="AX40" s="667"/>
      <c r="AY40" s="653"/>
      <c r="AZ40" s="668"/>
      <c r="BA40" s="655"/>
      <c r="BB40" s="656"/>
      <c r="BC40" s="656"/>
      <c r="BD40" s="656"/>
      <c r="BE40" s="656"/>
      <c r="BF40" s="656"/>
      <c r="BG40" s="656"/>
      <c r="BH40" s="657"/>
      <c r="BI40" s="630"/>
      <c r="BJ40" s="653"/>
      <c r="BK40" s="654"/>
      <c r="BL40" s="654"/>
      <c r="BM40" s="654"/>
      <c r="BN40" s="655"/>
      <c r="BO40" s="656"/>
      <c r="BP40" s="656"/>
      <c r="BQ40" s="656"/>
      <c r="BR40" s="656"/>
      <c r="BS40" s="656"/>
      <c r="BT40" s="656"/>
      <c r="BU40" s="657"/>
      <c r="BV40" s="658"/>
      <c r="BW40" s="659"/>
      <c r="BX40" s="656"/>
      <c r="BY40" s="656"/>
      <c r="BZ40" s="656"/>
      <c r="CA40" s="657"/>
      <c r="CB40" s="656"/>
      <c r="CC40" s="656"/>
      <c r="CD40" s="656"/>
      <c r="CE40" s="656"/>
      <c r="CF40" s="656"/>
      <c r="CG40" s="656"/>
      <c r="CH40" s="656"/>
      <c r="CI40" s="656"/>
      <c r="CJ40" s="656"/>
      <c r="CK40" s="656"/>
      <c r="CL40" s="656"/>
      <c r="CM40" s="656"/>
      <c r="CN40" s="656"/>
      <c r="CO40" s="656"/>
      <c r="CP40" s="656"/>
      <c r="CQ40" s="656"/>
      <c r="CR40" s="656"/>
      <c r="CS40" s="656"/>
      <c r="CT40" s="656"/>
      <c r="CU40" s="656"/>
      <c r="CV40" s="656"/>
      <c r="CW40" s="656"/>
      <c r="CX40" s="656"/>
      <c r="CY40" s="663"/>
      <c r="CZ40" s="669"/>
      <c r="DA40" s="665"/>
      <c r="DB40" s="666"/>
      <c r="DC40" s="667"/>
      <c r="DD40" s="667"/>
      <c r="DE40" s="667"/>
      <c r="DF40" s="653"/>
      <c r="DG40" s="668"/>
      <c r="DH40" s="655"/>
      <c r="DI40" s="656"/>
      <c r="DJ40" s="656"/>
      <c r="DK40" s="656"/>
      <c r="DL40" s="656"/>
      <c r="DM40" s="656"/>
      <c r="DN40" s="656"/>
      <c r="DO40" s="657"/>
      <c r="DP40" s="633"/>
      <c r="DQ40" s="634"/>
    </row>
    <row r="41" spans="1:121" ht="21" customHeight="1" x14ac:dyDescent="0.15">
      <c r="A41" s="652">
        <f t="shared" si="0"/>
        <v>35</v>
      </c>
      <c r="B41" s="626"/>
      <c r="C41" s="653"/>
      <c r="D41" s="654"/>
      <c r="E41" s="654"/>
      <c r="F41" s="654"/>
      <c r="G41" s="655"/>
      <c r="H41" s="656"/>
      <c r="I41" s="656"/>
      <c r="J41" s="656"/>
      <c r="K41" s="656"/>
      <c r="L41" s="656"/>
      <c r="M41" s="656"/>
      <c r="N41" s="657"/>
      <c r="O41" s="658"/>
      <c r="P41" s="659"/>
      <c r="Q41" s="656"/>
      <c r="R41" s="656"/>
      <c r="S41" s="656"/>
      <c r="T41" s="657"/>
      <c r="U41" s="656"/>
      <c r="V41" s="656"/>
      <c r="W41" s="656"/>
      <c r="X41" s="656"/>
      <c r="Y41" s="656"/>
      <c r="Z41" s="670"/>
      <c r="AA41" s="670"/>
      <c r="AB41" s="671"/>
      <c r="AC41" s="672"/>
      <c r="AD41" s="656"/>
      <c r="AE41" s="656"/>
      <c r="AF41" s="673"/>
      <c r="AG41" s="673"/>
      <c r="AH41" s="674"/>
      <c r="AI41" s="674"/>
      <c r="AJ41" s="663"/>
      <c r="AK41" s="672"/>
      <c r="AL41" s="663"/>
      <c r="AM41" s="672"/>
      <c r="AN41" s="675"/>
      <c r="AO41" s="675"/>
      <c r="AP41" s="656"/>
      <c r="AQ41" s="656"/>
      <c r="AR41" s="663"/>
      <c r="AS41" s="669"/>
      <c r="AT41" s="665"/>
      <c r="AU41" s="666"/>
      <c r="AV41" s="667"/>
      <c r="AW41" s="667"/>
      <c r="AX41" s="667"/>
      <c r="AY41" s="653"/>
      <c r="AZ41" s="668"/>
      <c r="BA41" s="676"/>
      <c r="BB41" s="656"/>
      <c r="BC41" s="656"/>
      <c r="BD41" s="656"/>
      <c r="BE41" s="656"/>
      <c r="BF41" s="656"/>
      <c r="BG41" s="656"/>
      <c r="BH41" s="657"/>
      <c r="BI41" s="630"/>
      <c r="BJ41" s="653"/>
      <c r="BK41" s="654"/>
      <c r="BL41" s="654"/>
      <c r="BM41" s="654"/>
      <c r="BN41" s="655"/>
      <c r="BO41" s="656"/>
      <c r="BP41" s="656"/>
      <c r="BQ41" s="656"/>
      <c r="BR41" s="656"/>
      <c r="BS41" s="656"/>
      <c r="BT41" s="656"/>
      <c r="BU41" s="657"/>
      <c r="BV41" s="658"/>
      <c r="BW41" s="659"/>
      <c r="BX41" s="656"/>
      <c r="BY41" s="656"/>
      <c r="BZ41" s="656"/>
      <c r="CA41" s="657"/>
      <c r="CB41" s="656"/>
      <c r="CC41" s="656"/>
      <c r="CD41" s="656"/>
      <c r="CE41" s="656"/>
      <c r="CF41" s="656"/>
      <c r="CG41" s="670"/>
      <c r="CH41" s="670"/>
      <c r="CI41" s="671"/>
      <c r="CJ41" s="672"/>
      <c r="CK41" s="656"/>
      <c r="CL41" s="656"/>
      <c r="CM41" s="673"/>
      <c r="CN41" s="673"/>
      <c r="CO41" s="674"/>
      <c r="CP41" s="674"/>
      <c r="CQ41" s="663"/>
      <c r="CR41" s="672"/>
      <c r="CS41" s="663"/>
      <c r="CT41" s="672"/>
      <c r="CU41" s="675"/>
      <c r="CV41" s="675"/>
      <c r="CW41" s="656"/>
      <c r="CX41" s="656"/>
      <c r="CY41" s="663"/>
      <c r="CZ41" s="669"/>
      <c r="DA41" s="665"/>
      <c r="DB41" s="666"/>
      <c r="DC41" s="667"/>
      <c r="DD41" s="667"/>
      <c r="DE41" s="667"/>
      <c r="DF41" s="653"/>
      <c r="DG41" s="668"/>
      <c r="DH41" s="676"/>
      <c r="DI41" s="656"/>
      <c r="DJ41" s="656"/>
      <c r="DK41" s="656"/>
      <c r="DL41" s="656"/>
      <c r="DM41" s="656"/>
      <c r="DN41" s="656"/>
      <c r="DO41" s="657"/>
      <c r="DP41" s="633"/>
      <c r="DQ41" s="634"/>
    </row>
    <row r="42" spans="1:121" ht="21" customHeight="1" x14ac:dyDescent="0.15">
      <c r="A42" s="652">
        <f t="shared" si="0"/>
        <v>36</v>
      </c>
      <c r="B42" s="626"/>
      <c r="C42" s="653"/>
      <c r="D42" s="654"/>
      <c r="E42" s="654"/>
      <c r="F42" s="654"/>
      <c r="G42" s="655"/>
      <c r="H42" s="656"/>
      <c r="I42" s="656"/>
      <c r="J42" s="656"/>
      <c r="K42" s="656"/>
      <c r="L42" s="656"/>
      <c r="M42" s="656"/>
      <c r="N42" s="657"/>
      <c r="O42" s="658"/>
      <c r="P42" s="659"/>
      <c r="Q42" s="656"/>
      <c r="R42" s="656"/>
      <c r="S42" s="656"/>
      <c r="T42" s="657"/>
      <c r="U42" s="656"/>
      <c r="V42" s="656"/>
      <c r="W42" s="656"/>
      <c r="X42" s="656"/>
      <c r="Y42" s="656"/>
      <c r="Z42" s="670"/>
      <c r="AA42" s="670"/>
      <c r="AB42" s="671"/>
      <c r="AC42" s="656"/>
      <c r="AD42" s="656"/>
      <c r="AE42" s="656"/>
      <c r="AF42" s="656"/>
      <c r="AG42" s="656"/>
      <c r="AH42" s="656"/>
      <c r="AI42" s="656"/>
      <c r="AJ42" s="670"/>
      <c r="AK42" s="670"/>
      <c r="AL42" s="671"/>
      <c r="AM42" s="677"/>
      <c r="AN42" s="677"/>
      <c r="AO42" s="678"/>
      <c r="AP42" s="656"/>
      <c r="AQ42" s="656"/>
      <c r="AR42" s="663"/>
      <c r="AS42" s="669"/>
      <c r="AT42" s="665"/>
      <c r="AU42" s="666"/>
      <c r="AV42" s="667"/>
      <c r="AW42" s="667"/>
      <c r="AX42" s="667"/>
      <c r="AY42" s="653"/>
      <c r="AZ42" s="668"/>
      <c r="BA42" s="655"/>
      <c r="BB42" s="656"/>
      <c r="BC42" s="656"/>
      <c r="BD42" s="656"/>
      <c r="BE42" s="656"/>
      <c r="BF42" s="656"/>
      <c r="BG42" s="656"/>
      <c r="BH42" s="657"/>
      <c r="BI42" s="630"/>
      <c r="BJ42" s="653"/>
      <c r="BK42" s="654"/>
      <c r="BL42" s="654"/>
      <c r="BM42" s="654"/>
      <c r="BN42" s="655"/>
      <c r="BO42" s="656"/>
      <c r="BP42" s="656"/>
      <c r="BQ42" s="656"/>
      <c r="BR42" s="656"/>
      <c r="BS42" s="656"/>
      <c r="BT42" s="656"/>
      <c r="BU42" s="657"/>
      <c r="BV42" s="658"/>
      <c r="BW42" s="659"/>
      <c r="BX42" s="656"/>
      <c r="BY42" s="656"/>
      <c r="BZ42" s="656"/>
      <c r="CA42" s="657"/>
      <c r="CB42" s="656"/>
      <c r="CC42" s="656"/>
      <c r="CD42" s="656"/>
      <c r="CE42" s="656"/>
      <c r="CF42" s="656"/>
      <c r="CG42" s="670"/>
      <c r="CH42" s="670"/>
      <c r="CI42" s="671"/>
      <c r="CJ42" s="656"/>
      <c r="CK42" s="656"/>
      <c r="CL42" s="656"/>
      <c r="CM42" s="656"/>
      <c r="CN42" s="656"/>
      <c r="CO42" s="656"/>
      <c r="CP42" s="656"/>
      <c r="CQ42" s="670"/>
      <c r="CR42" s="670"/>
      <c r="CS42" s="671"/>
      <c r="CT42" s="677"/>
      <c r="CU42" s="677"/>
      <c r="CV42" s="678"/>
      <c r="CW42" s="656"/>
      <c r="CX42" s="656"/>
      <c r="CY42" s="663"/>
      <c r="CZ42" s="669"/>
      <c r="DA42" s="665"/>
      <c r="DB42" s="666"/>
      <c r="DC42" s="667"/>
      <c r="DD42" s="667"/>
      <c r="DE42" s="667"/>
      <c r="DF42" s="653"/>
      <c r="DG42" s="668"/>
      <c r="DH42" s="655"/>
      <c r="DI42" s="656"/>
      <c r="DJ42" s="656"/>
      <c r="DK42" s="656"/>
      <c r="DL42" s="656"/>
      <c r="DM42" s="656"/>
      <c r="DN42" s="656"/>
      <c r="DO42" s="657"/>
      <c r="DP42" s="633"/>
      <c r="DQ42" s="634"/>
    </row>
    <row r="43" spans="1:121" ht="21" customHeight="1" x14ac:dyDescent="0.15">
      <c r="A43" s="652">
        <f t="shared" si="0"/>
        <v>37</v>
      </c>
      <c r="B43" s="626"/>
      <c r="C43" s="653"/>
      <c r="D43" s="654"/>
      <c r="E43" s="654"/>
      <c r="F43" s="654"/>
      <c r="G43" s="655"/>
      <c r="H43" s="656"/>
      <c r="I43" s="656"/>
      <c r="J43" s="656"/>
      <c r="K43" s="656"/>
      <c r="L43" s="656"/>
      <c r="M43" s="656"/>
      <c r="N43" s="657"/>
      <c r="O43" s="658"/>
      <c r="P43" s="659"/>
      <c r="Q43" s="656"/>
      <c r="R43" s="656"/>
      <c r="S43" s="656"/>
      <c r="T43" s="657"/>
      <c r="U43" s="656"/>
      <c r="V43" s="656"/>
      <c r="W43" s="656"/>
      <c r="X43" s="656"/>
      <c r="Y43" s="656"/>
      <c r="Z43" s="656"/>
      <c r="AA43" s="656"/>
      <c r="AB43" s="667"/>
      <c r="AC43" s="667"/>
      <c r="AD43" s="671"/>
      <c r="AE43" s="679"/>
      <c r="AF43" s="679"/>
      <c r="AG43" s="680"/>
      <c r="AH43" s="656"/>
      <c r="AI43" s="656"/>
      <c r="AJ43" s="681"/>
      <c r="AK43" s="681"/>
      <c r="AL43" s="671"/>
      <c r="AM43" s="679"/>
      <c r="AN43" s="679"/>
      <c r="AO43" s="656"/>
      <c r="AP43" s="656"/>
      <c r="AQ43" s="656"/>
      <c r="AR43" s="663"/>
      <c r="AS43" s="669"/>
      <c r="AT43" s="665"/>
      <c r="AU43" s="666"/>
      <c r="AV43" s="667"/>
      <c r="AW43" s="667"/>
      <c r="AX43" s="667"/>
      <c r="AY43" s="653"/>
      <c r="AZ43" s="668"/>
      <c r="BA43" s="655"/>
      <c r="BB43" s="656"/>
      <c r="BC43" s="656"/>
      <c r="BD43" s="656"/>
      <c r="BE43" s="656"/>
      <c r="BF43" s="656"/>
      <c r="BG43" s="656"/>
      <c r="BH43" s="657"/>
      <c r="BI43" s="630"/>
      <c r="BJ43" s="653"/>
      <c r="BK43" s="654"/>
      <c r="BL43" s="654"/>
      <c r="BM43" s="654"/>
      <c r="BN43" s="655"/>
      <c r="BO43" s="656"/>
      <c r="BP43" s="656"/>
      <c r="BQ43" s="656"/>
      <c r="BR43" s="656"/>
      <c r="BS43" s="656"/>
      <c r="BT43" s="656"/>
      <c r="BU43" s="657"/>
      <c r="BV43" s="658"/>
      <c r="BW43" s="659"/>
      <c r="BX43" s="656"/>
      <c r="BY43" s="656"/>
      <c r="BZ43" s="656"/>
      <c r="CA43" s="657"/>
      <c r="CB43" s="656"/>
      <c r="CC43" s="656"/>
      <c r="CD43" s="656"/>
      <c r="CE43" s="656"/>
      <c r="CF43" s="656"/>
      <c r="CG43" s="656"/>
      <c r="CH43" s="656"/>
      <c r="CI43" s="667"/>
      <c r="CJ43" s="667"/>
      <c r="CK43" s="671"/>
      <c r="CL43" s="679"/>
      <c r="CM43" s="679"/>
      <c r="CN43" s="680"/>
      <c r="CO43" s="656"/>
      <c r="CP43" s="656"/>
      <c r="CQ43" s="681"/>
      <c r="CR43" s="681"/>
      <c r="CS43" s="671"/>
      <c r="CT43" s="679"/>
      <c r="CU43" s="679"/>
      <c r="CV43" s="656"/>
      <c r="CW43" s="656"/>
      <c r="CX43" s="656"/>
      <c r="CY43" s="663"/>
      <c r="CZ43" s="669"/>
      <c r="DA43" s="665"/>
      <c r="DB43" s="666"/>
      <c r="DC43" s="667"/>
      <c r="DD43" s="667"/>
      <c r="DE43" s="667"/>
      <c r="DF43" s="653"/>
      <c r="DG43" s="668"/>
      <c r="DH43" s="655"/>
      <c r="DI43" s="656"/>
      <c r="DJ43" s="656"/>
      <c r="DK43" s="656"/>
      <c r="DL43" s="656"/>
      <c r="DM43" s="656"/>
      <c r="DN43" s="656"/>
      <c r="DO43" s="657"/>
      <c r="DP43" s="633"/>
      <c r="DQ43" s="634"/>
    </row>
    <row r="44" spans="1:121" ht="21" customHeight="1" x14ac:dyDescent="0.15">
      <c r="A44" s="652">
        <f t="shared" si="0"/>
        <v>38</v>
      </c>
      <c r="B44" s="626"/>
      <c r="C44" s="653"/>
      <c r="D44" s="654"/>
      <c r="E44" s="654"/>
      <c r="F44" s="654"/>
      <c r="G44" s="655"/>
      <c r="H44" s="656"/>
      <c r="I44" s="656"/>
      <c r="J44" s="656"/>
      <c r="K44" s="656"/>
      <c r="L44" s="656"/>
      <c r="M44" s="656"/>
      <c r="N44" s="657"/>
      <c r="O44" s="658"/>
      <c r="P44" s="659"/>
      <c r="Q44" s="656"/>
      <c r="R44" s="656"/>
      <c r="S44" s="656"/>
      <c r="T44" s="657"/>
      <c r="U44" s="656"/>
      <c r="V44" s="656"/>
      <c r="W44" s="656"/>
      <c r="X44" s="656"/>
      <c r="Y44" s="656"/>
      <c r="Z44" s="656"/>
      <c r="AA44" s="656"/>
      <c r="AB44" s="656"/>
      <c r="AC44" s="656"/>
      <c r="AD44" s="656"/>
      <c r="AE44" s="675"/>
      <c r="AF44" s="675"/>
      <c r="AG44" s="671"/>
      <c r="AH44" s="656"/>
      <c r="AI44" s="656"/>
      <c r="AJ44" s="656"/>
      <c r="AK44" s="656"/>
      <c r="AL44" s="656"/>
      <c r="AM44" s="675"/>
      <c r="AN44" s="675"/>
      <c r="AO44" s="656"/>
      <c r="AP44" s="656"/>
      <c r="AQ44" s="656"/>
      <c r="AR44" s="656"/>
      <c r="AS44" s="669"/>
      <c r="AT44" s="665"/>
      <c r="AU44" s="666"/>
      <c r="AV44" s="667"/>
      <c r="AW44" s="667"/>
      <c r="AX44" s="667"/>
      <c r="AY44" s="653"/>
      <c r="AZ44" s="668"/>
      <c r="BA44" s="655"/>
      <c r="BB44" s="656"/>
      <c r="BC44" s="656"/>
      <c r="BD44" s="656"/>
      <c r="BE44" s="656"/>
      <c r="BF44" s="656"/>
      <c r="BG44" s="656"/>
      <c r="BH44" s="657"/>
      <c r="BI44" s="630"/>
      <c r="BJ44" s="653"/>
      <c r="BK44" s="654"/>
      <c r="BL44" s="654"/>
      <c r="BM44" s="654"/>
      <c r="BN44" s="655"/>
      <c r="BO44" s="656"/>
      <c r="BP44" s="656"/>
      <c r="BQ44" s="656"/>
      <c r="BR44" s="656"/>
      <c r="BS44" s="656"/>
      <c r="BT44" s="656"/>
      <c r="BU44" s="657"/>
      <c r="BV44" s="658"/>
      <c r="BW44" s="659"/>
      <c r="BX44" s="656"/>
      <c r="BY44" s="656"/>
      <c r="BZ44" s="656"/>
      <c r="CA44" s="657"/>
      <c r="CB44" s="656"/>
      <c r="CC44" s="656"/>
      <c r="CD44" s="656"/>
      <c r="CE44" s="656"/>
      <c r="CF44" s="656"/>
      <c r="CG44" s="656"/>
      <c r="CH44" s="656"/>
      <c r="CI44" s="656"/>
      <c r="CJ44" s="656"/>
      <c r="CK44" s="656"/>
      <c r="CL44" s="675"/>
      <c r="CM44" s="675"/>
      <c r="CN44" s="671"/>
      <c r="CO44" s="656"/>
      <c r="CP44" s="656"/>
      <c r="CQ44" s="656"/>
      <c r="CR44" s="656"/>
      <c r="CS44" s="656"/>
      <c r="CT44" s="675"/>
      <c r="CU44" s="675"/>
      <c r="CV44" s="656"/>
      <c r="CW44" s="656"/>
      <c r="CX44" s="656"/>
      <c r="CY44" s="656"/>
      <c r="CZ44" s="669"/>
      <c r="DA44" s="665"/>
      <c r="DB44" s="666"/>
      <c r="DC44" s="667"/>
      <c r="DD44" s="667"/>
      <c r="DE44" s="667"/>
      <c r="DF44" s="653"/>
      <c r="DG44" s="668"/>
      <c r="DH44" s="655"/>
      <c r="DI44" s="656"/>
      <c r="DJ44" s="656"/>
      <c r="DK44" s="656"/>
      <c r="DL44" s="656"/>
      <c r="DM44" s="656"/>
      <c r="DN44" s="656"/>
      <c r="DO44" s="657"/>
      <c r="DP44" s="633"/>
      <c r="DQ44" s="634"/>
    </row>
    <row r="45" spans="1:121" ht="21" customHeight="1" x14ac:dyDescent="0.15">
      <c r="A45" s="652">
        <f t="shared" si="0"/>
        <v>39</v>
      </c>
      <c r="B45" s="626"/>
      <c r="C45" s="653"/>
      <c r="D45" s="654"/>
      <c r="E45" s="654"/>
      <c r="F45" s="668"/>
      <c r="G45" s="655"/>
      <c r="H45" s="656"/>
      <c r="I45" s="656"/>
      <c r="J45" s="656"/>
      <c r="K45" s="656"/>
      <c r="L45" s="656"/>
      <c r="M45" s="656"/>
      <c r="N45" s="657"/>
      <c r="O45" s="682"/>
      <c r="P45" s="683"/>
      <c r="Q45" s="661"/>
      <c r="R45" s="661"/>
      <c r="S45" s="661"/>
      <c r="T45" s="662"/>
      <c r="U45" s="656"/>
      <c r="V45" s="656"/>
      <c r="W45" s="656"/>
      <c r="X45" s="656"/>
      <c r="Y45" s="656"/>
      <c r="Z45" s="684"/>
      <c r="AA45" s="656"/>
      <c r="AB45" s="656"/>
      <c r="AC45" s="656"/>
      <c r="AD45" s="656"/>
      <c r="AE45" s="656"/>
      <c r="AF45" s="656"/>
      <c r="AG45" s="656"/>
      <c r="AH45" s="656"/>
      <c r="AI45" s="672"/>
      <c r="AJ45" s="672"/>
      <c r="AK45" s="663"/>
      <c r="AL45" s="672"/>
      <c r="AM45" s="656"/>
      <c r="AN45" s="656"/>
      <c r="AO45" s="656"/>
      <c r="AP45" s="656"/>
      <c r="AQ45" s="656"/>
      <c r="AR45" s="663"/>
      <c r="AS45" s="669"/>
      <c r="AT45" s="665"/>
      <c r="AU45" s="666"/>
      <c r="AV45" s="685"/>
      <c r="AW45" s="667"/>
      <c r="AX45" s="686"/>
      <c r="AY45" s="653"/>
      <c r="AZ45" s="668"/>
      <c r="BA45" s="655"/>
      <c r="BB45" s="656"/>
      <c r="BC45" s="656"/>
      <c r="BD45" s="656"/>
      <c r="BE45" s="656"/>
      <c r="BF45" s="656"/>
      <c r="BG45" s="656"/>
      <c r="BH45" s="657"/>
      <c r="BI45" s="630"/>
      <c r="BJ45" s="653"/>
      <c r="BK45" s="654"/>
      <c r="BL45" s="654"/>
      <c r="BM45" s="668"/>
      <c r="BN45" s="655"/>
      <c r="BO45" s="656"/>
      <c r="BP45" s="656"/>
      <c r="BQ45" s="656"/>
      <c r="BR45" s="656"/>
      <c r="BS45" s="656"/>
      <c r="BT45" s="656"/>
      <c r="BU45" s="657"/>
      <c r="BV45" s="682"/>
      <c r="BW45" s="683"/>
      <c r="BX45" s="661"/>
      <c r="BY45" s="661"/>
      <c r="BZ45" s="661"/>
      <c r="CA45" s="662"/>
      <c r="CB45" s="656"/>
      <c r="CC45" s="656"/>
      <c r="CD45" s="656"/>
      <c r="CE45" s="656"/>
      <c r="CF45" s="656"/>
      <c r="CG45" s="684"/>
      <c r="CH45" s="656"/>
      <c r="CI45" s="656"/>
      <c r="CJ45" s="656"/>
      <c r="CK45" s="656"/>
      <c r="CL45" s="656"/>
      <c r="CM45" s="656"/>
      <c r="CN45" s="656"/>
      <c r="CO45" s="656"/>
      <c r="CP45" s="672"/>
      <c r="CQ45" s="672"/>
      <c r="CR45" s="663"/>
      <c r="CS45" s="672"/>
      <c r="CT45" s="656"/>
      <c r="CU45" s="656"/>
      <c r="CV45" s="656"/>
      <c r="CW45" s="656"/>
      <c r="CX45" s="656"/>
      <c r="CY45" s="663"/>
      <c r="CZ45" s="669"/>
      <c r="DA45" s="665"/>
      <c r="DB45" s="666"/>
      <c r="DC45" s="685"/>
      <c r="DD45" s="667"/>
      <c r="DE45" s="686"/>
      <c r="DF45" s="653"/>
      <c r="DG45" s="668"/>
      <c r="DH45" s="655"/>
      <c r="DI45" s="656"/>
      <c r="DJ45" s="656"/>
      <c r="DK45" s="656"/>
      <c r="DL45" s="656"/>
      <c r="DM45" s="656"/>
      <c r="DN45" s="656"/>
      <c r="DO45" s="657"/>
      <c r="DP45" s="633"/>
      <c r="DQ45" s="634"/>
    </row>
    <row r="46" spans="1:121" ht="21" customHeight="1" x14ac:dyDescent="0.15">
      <c r="A46" s="652">
        <f t="shared" si="0"/>
        <v>40</v>
      </c>
      <c r="B46" s="626"/>
      <c r="C46" s="653"/>
      <c r="D46" s="654"/>
      <c r="E46" s="654"/>
      <c r="F46" s="668"/>
      <c r="G46" s="655"/>
      <c r="H46" s="656"/>
      <c r="I46" s="656"/>
      <c r="J46" s="656"/>
      <c r="K46" s="656"/>
      <c r="L46" s="656"/>
      <c r="M46" s="656"/>
      <c r="N46" s="657"/>
      <c r="O46" s="658"/>
      <c r="P46" s="659"/>
      <c r="Q46" s="656"/>
      <c r="R46" s="656"/>
      <c r="S46" s="656"/>
      <c r="T46" s="657"/>
      <c r="U46" s="656"/>
      <c r="V46" s="656"/>
      <c r="W46" s="656"/>
      <c r="X46" s="656"/>
      <c r="Y46" s="656"/>
      <c r="Z46" s="656"/>
      <c r="AA46" s="656"/>
      <c r="AB46" s="656"/>
      <c r="AC46" s="656"/>
      <c r="AD46" s="656"/>
      <c r="AE46" s="656"/>
      <c r="AF46" s="656"/>
      <c r="AG46" s="656"/>
      <c r="AH46" s="656"/>
      <c r="AI46" s="656"/>
      <c r="AJ46" s="687"/>
      <c r="AK46" s="687"/>
      <c r="AL46" s="687"/>
      <c r="AM46" s="687"/>
      <c r="AN46" s="687"/>
      <c r="AO46" s="656"/>
      <c r="AP46" s="656"/>
      <c r="AQ46" s="656"/>
      <c r="AR46" s="663"/>
      <c r="AS46" s="669"/>
      <c r="AT46" s="665"/>
      <c r="AU46" s="666"/>
      <c r="AV46" s="685"/>
      <c r="AW46" s="667"/>
      <c r="AX46" s="686"/>
      <c r="AY46" s="653"/>
      <c r="AZ46" s="668"/>
      <c r="BA46" s="655"/>
      <c r="BB46" s="656"/>
      <c r="BC46" s="656"/>
      <c r="BD46" s="656"/>
      <c r="BE46" s="656"/>
      <c r="BF46" s="656"/>
      <c r="BG46" s="656"/>
      <c r="BH46" s="657"/>
      <c r="BI46" s="630"/>
      <c r="BJ46" s="653"/>
      <c r="BK46" s="654"/>
      <c r="BL46" s="654"/>
      <c r="BM46" s="668"/>
      <c r="BN46" s="655"/>
      <c r="BO46" s="656"/>
      <c r="BP46" s="656"/>
      <c r="BQ46" s="656"/>
      <c r="BR46" s="656"/>
      <c r="BS46" s="656"/>
      <c r="BT46" s="656"/>
      <c r="BU46" s="657"/>
      <c r="BV46" s="658"/>
      <c r="BW46" s="659"/>
      <c r="BX46" s="656"/>
      <c r="BY46" s="656"/>
      <c r="BZ46" s="656"/>
      <c r="CA46" s="657"/>
      <c r="CB46" s="656"/>
      <c r="CC46" s="656"/>
      <c r="CD46" s="656"/>
      <c r="CE46" s="656"/>
      <c r="CF46" s="656"/>
      <c r="CG46" s="656"/>
      <c r="CH46" s="656"/>
      <c r="CI46" s="656"/>
      <c r="CJ46" s="656"/>
      <c r="CK46" s="656"/>
      <c r="CL46" s="656"/>
      <c r="CM46" s="656"/>
      <c r="CN46" s="656"/>
      <c r="CO46" s="656"/>
      <c r="CP46" s="656"/>
      <c r="CQ46" s="687"/>
      <c r="CR46" s="687"/>
      <c r="CS46" s="687"/>
      <c r="CT46" s="687"/>
      <c r="CU46" s="687"/>
      <c r="CV46" s="656"/>
      <c r="CW46" s="656"/>
      <c r="CX46" s="656"/>
      <c r="CY46" s="663"/>
      <c r="CZ46" s="669"/>
      <c r="DA46" s="665"/>
      <c r="DB46" s="666"/>
      <c r="DC46" s="685"/>
      <c r="DD46" s="667"/>
      <c r="DE46" s="686"/>
      <c r="DF46" s="653"/>
      <c r="DG46" s="668"/>
      <c r="DH46" s="655"/>
      <c r="DI46" s="656"/>
      <c r="DJ46" s="656"/>
      <c r="DK46" s="656"/>
      <c r="DL46" s="656"/>
      <c r="DM46" s="656"/>
      <c r="DN46" s="656"/>
      <c r="DO46" s="657"/>
      <c r="DP46" s="633"/>
      <c r="DQ46" s="634"/>
    </row>
    <row r="47" spans="1:121" ht="21" customHeight="1" x14ac:dyDescent="0.15">
      <c r="A47" s="652">
        <f t="shared" si="0"/>
        <v>41</v>
      </c>
      <c r="B47" s="626"/>
      <c r="C47" s="653"/>
      <c r="D47" s="654"/>
      <c r="E47" s="654"/>
      <c r="F47" s="668"/>
      <c r="G47" s="655"/>
      <c r="H47" s="656"/>
      <c r="I47" s="656"/>
      <c r="J47" s="656"/>
      <c r="K47" s="656"/>
      <c r="L47" s="656"/>
      <c r="M47" s="656"/>
      <c r="N47" s="657"/>
      <c r="O47" s="658"/>
      <c r="P47" s="659"/>
      <c r="Q47" s="656"/>
      <c r="R47" s="656"/>
      <c r="S47" s="656"/>
      <c r="T47" s="657"/>
      <c r="U47" s="656"/>
      <c r="V47" s="673"/>
      <c r="W47" s="673"/>
      <c r="X47" s="673"/>
      <c r="Y47" s="656"/>
      <c r="Z47" s="688"/>
      <c r="AA47" s="688"/>
      <c r="AB47" s="671"/>
      <c r="AC47" s="654"/>
      <c r="AD47" s="654"/>
      <c r="AE47" s="671"/>
      <c r="AF47" s="688"/>
      <c r="AG47" s="688"/>
      <c r="AH47" s="689"/>
      <c r="AI47" s="688"/>
      <c r="AJ47" s="688"/>
      <c r="AK47" s="671"/>
      <c r="AL47" s="671"/>
      <c r="AM47" s="671"/>
      <c r="AN47" s="671"/>
      <c r="AO47" s="656"/>
      <c r="AP47" s="656"/>
      <c r="AQ47" s="656"/>
      <c r="AR47" s="663"/>
      <c r="AS47" s="669"/>
      <c r="AT47" s="665"/>
      <c r="AU47" s="666"/>
      <c r="AV47" s="685"/>
      <c r="AW47" s="667"/>
      <c r="AX47" s="686"/>
      <c r="AY47" s="653"/>
      <c r="AZ47" s="668"/>
      <c r="BA47" s="655"/>
      <c r="BB47" s="656"/>
      <c r="BC47" s="656"/>
      <c r="BD47" s="656"/>
      <c r="BE47" s="656"/>
      <c r="BF47" s="656"/>
      <c r="BG47" s="656"/>
      <c r="BH47" s="657"/>
      <c r="BI47" s="630"/>
      <c r="BJ47" s="653"/>
      <c r="BK47" s="654"/>
      <c r="BL47" s="654"/>
      <c r="BM47" s="668"/>
      <c r="BN47" s="655"/>
      <c r="BO47" s="656"/>
      <c r="BP47" s="656"/>
      <c r="BQ47" s="656"/>
      <c r="BR47" s="656"/>
      <c r="BS47" s="656"/>
      <c r="BT47" s="656"/>
      <c r="BU47" s="657"/>
      <c r="BV47" s="658"/>
      <c r="BW47" s="659"/>
      <c r="BX47" s="656"/>
      <c r="BY47" s="656"/>
      <c r="BZ47" s="656"/>
      <c r="CA47" s="657"/>
      <c r="CB47" s="656"/>
      <c r="CC47" s="673"/>
      <c r="CD47" s="673"/>
      <c r="CE47" s="673"/>
      <c r="CF47" s="656"/>
      <c r="CG47" s="688"/>
      <c r="CH47" s="688"/>
      <c r="CI47" s="671"/>
      <c r="CJ47" s="654"/>
      <c r="CK47" s="654"/>
      <c r="CL47" s="671"/>
      <c r="CM47" s="688"/>
      <c r="CN47" s="688"/>
      <c r="CO47" s="689"/>
      <c r="CP47" s="688"/>
      <c r="CQ47" s="688"/>
      <c r="CR47" s="671"/>
      <c r="CS47" s="671"/>
      <c r="CT47" s="671"/>
      <c r="CU47" s="671"/>
      <c r="CV47" s="656"/>
      <c r="CW47" s="656"/>
      <c r="CX47" s="656"/>
      <c r="CY47" s="663"/>
      <c r="CZ47" s="669"/>
      <c r="DA47" s="665"/>
      <c r="DB47" s="666"/>
      <c r="DC47" s="685"/>
      <c r="DD47" s="667"/>
      <c r="DE47" s="686"/>
      <c r="DF47" s="653"/>
      <c r="DG47" s="668"/>
      <c r="DH47" s="655"/>
      <c r="DI47" s="656"/>
      <c r="DJ47" s="656"/>
      <c r="DK47" s="656"/>
      <c r="DL47" s="656"/>
      <c r="DM47" s="656"/>
      <c r="DN47" s="656"/>
      <c r="DO47" s="657"/>
      <c r="DP47" s="633"/>
      <c r="DQ47" s="634"/>
    </row>
    <row r="48" spans="1:121" ht="21" customHeight="1" x14ac:dyDescent="0.15">
      <c r="A48" s="652">
        <f t="shared" si="0"/>
        <v>42</v>
      </c>
      <c r="B48" s="626"/>
      <c r="C48" s="653"/>
      <c r="D48" s="654"/>
      <c r="E48" s="654"/>
      <c r="F48" s="668"/>
      <c r="G48" s="655"/>
      <c r="H48" s="656"/>
      <c r="I48" s="656"/>
      <c r="J48" s="656"/>
      <c r="K48" s="656"/>
      <c r="L48" s="656"/>
      <c r="M48" s="656"/>
      <c r="N48" s="657"/>
      <c r="O48" s="658"/>
      <c r="P48" s="659"/>
      <c r="Q48" s="656"/>
      <c r="R48" s="656"/>
      <c r="S48" s="656"/>
      <c r="T48" s="657"/>
      <c r="U48" s="656"/>
      <c r="V48" s="656"/>
      <c r="W48" s="656"/>
      <c r="X48" s="656"/>
      <c r="Y48" s="656"/>
      <c r="Z48" s="671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656"/>
      <c r="AP48" s="656"/>
      <c r="AQ48" s="656"/>
      <c r="AR48" s="663"/>
      <c r="AS48" s="669"/>
      <c r="AT48" s="665"/>
      <c r="AU48" s="666"/>
      <c r="AV48" s="685"/>
      <c r="AW48" s="667"/>
      <c r="AX48" s="686"/>
      <c r="AY48" s="653"/>
      <c r="AZ48" s="668"/>
      <c r="BA48" s="655"/>
      <c r="BB48" s="656"/>
      <c r="BC48" s="656"/>
      <c r="BD48" s="656"/>
      <c r="BE48" s="656"/>
      <c r="BF48" s="656"/>
      <c r="BG48" s="656"/>
      <c r="BH48" s="657"/>
      <c r="BI48" s="630"/>
      <c r="BJ48" s="653"/>
      <c r="BK48" s="654"/>
      <c r="BL48" s="654"/>
      <c r="BM48" s="668"/>
      <c r="BN48" s="655"/>
      <c r="BO48" s="656"/>
      <c r="BP48" s="656"/>
      <c r="BQ48" s="656"/>
      <c r="BR48" s="656"/>
      <c r="BS48" s="656"/>
      <c r="BT48" s="656"/>
      <c r="BU48" s="657"/>
      <c r="BV48" s="658"/>
      <c r="BW48" s="659"/>
      <c r="BX48" s="656"/>
      <c r="BY48" s="656"/>
      <c r="BZ48" s="656"/>
      <c r="CA48" s="657"/>
      <c r="CB48" s="656"/>
      <c r="CC48" s="656"/>
      <c r="CD48" s="656"/>
      <c r="CE48" s="656"/>
      <c r="CF48" s="656"/>
      <c r="CG48" s="671"/>
      <c r="CH48" s="656"/>
      <c r="CI48" s="656"/>
      <c r="CJ48" s="656"/>
      <c r="CK48" s="656"/>
      <c r="CL48" s="656"/>
      <c r="CM48" s="656"/>
      <c r="CN48" s="656"/>
      <c r="CO48" s="656"/>
      <c r="CP48" s="656"/>
      <c r="CQ48" s="656"/>
      <c r="CR48" s="656"/>
      <c r="CS48" s="656"/>
      <c r="CT48" s="656"/>
      <c r="CU48" s="656"/>
      <c r="CV48" s="656"/>
      <c r="CW48" s="656"/>
      <c r="CX48" s="656"/>
      <c r="CY48" s="663"/>
      <c r="CZ48" s="669"/>
      <c r="DA48" s="665"/>
      <c r="DB48" s="666"/>
      <c r="DC48" s="685"/>
      <c r="DD48" s="667"/>
      <c r="DE48" s="686"/>
      <c r="DF48" s="653"/>
      <c r="DG48" s="668"/>
      <c r="DH48" s="655"/>
      <c r="DI48" s="656"/>
      <c r="DJ48" s="656"/>
      <c r="DK48" s="656"/>
      <c r="DL48" s="656"/>
      <c r="DM48" s="656"/>
      <c r="DN48" s="656"/>
      <c r="DO48" s="657"/>
      <c r="DP48" s="633"/>
      <c r="DQ48" s="634"/>
    </row>
    <row r="49" spans="1:121" ht="21" customHeight="1" x14ac:dyDescent="0.15">
      <c r="A49" s="652">
        <f t="shared" si="0"/>
        <v>43</v>
      </c>
      <c r="B49" s="626"/>
      <c r="C49" s="653"/>
      <c r="D49" s="654"/>
      <c r="E49" s="654"/>
      <c r="F49" s="668"/>
      <c r="G49" s="655"/>
      <c r="H49" s="656"/>
      <c r="I49" s="656"/>
      <c r="J49" s="656"/>
      <c r="K49" s="656"/>
      <c r="L49" s="656"/>
      <c r="M49" s="656"/>
      <c r="N49" s="657"/>
      <c r="O49" s="658"/>
      <c r="P49" s="659"/>
      <c r="Q49" s="656"/>
      <c r="R49" s="656"/>
      <c r="S49" s="656"/>
      <c r="T49" s="657"/>
      <c r="U49" s="656"/>
      <c r="V49" s="656"/>
      <c r="W49" s="656"/>
      <c r="X49" s="656"/>
      <c r="Y49" s="656"/>
      <c r="Z49" s="690"/>
      <c r="AA49" s="690"/>
      <c r="AB49" s="690"/>
      <c r="AC49" s="690"/>
      <c r="AD49" s="690"/>
      <c r="AE49" s="656"/>
      <c r="AF49" s="687"/>
      <c r="AG49" s="687"/>
      <c r="AH49" s="687"/>
      <c r="AI49" s="687"/>
      <c r="AJ49" s="656"/>
      <c r="AK49" s="656"/>
      <c r="AL49" s="656"/>
      <c r="AM49" s="656"/>
      <c r="AN49" s="656"/>
      <c r="AO49" s="656"/>
      <c r="AP49" s="656"/>
      <c r="AQ49" s="656"/>
      <c r="AR49" s="656"/>
      <c r="AS49" s="669"/>
      <c r="AT49" s="665"/>
      <c r="AU49" s="666"/>
      <c r="AV49" s="691"/>
      <c r="AW49" s="691"/>
      <c r="AX49" s="691"/>
      <c r="AY49" s="653"/>
      <c r="AZ49" s="668"/>
      <c r="BA49" s="655"/>
      <c r="BB49" s="656"/>
      <c r="BC49" s="656"/>
      <c r="BD49" s="656"/>
      <c r="BE49" s="656"/>
      <c r="BF49" s="656"/>
      <c r="BG49" s="656"/>
      <c r="BH49" s="657"/>
      <c r="BI49" s="630"/>
      <c r="BJ49" s="653"/>
      <c r="BK49" s="654"/>
      <c r="BL49" s="654"/>
      <c r="BM49" s="668"/>
      <c r="BN49" s="655"/>
      <c r="BO49" s="656"/>
      <c r="BP49" s="656"/>
      <c r="BQ49" s="656"/>
      <c r="BR49" s="656"/>
      <c r="BS49" s="656"/>
      <c r="BT49" s="656"/>
      <c r="BU49" s="657"/>
      <c r="BV49" s="658"/>
      <c r="BW49" s="659"/>
      <c r="BX49" s="656"/>
      <c r="BY49" s="656"/>
      <c r="BZ49" s="656"/>
      <c r="CA49" s="657"/>
      <c r="CB49" s="656"/>
      <c r="CC49" s="656"/>
      <c r="CD49" s="656"/>
      <c r="CE49" s="656"/>
      <c r="CF49" s="656"/>
      <c r="CG49" s="690"/>
      <c r="CH49" s="690"/>
      <c r="CI49" s="690"/>
      <c r="CJ49" s="690"/>
      <c r="CK49" s="690"/>
      <c r="CL49" s="656"/>
      <c r="CM49" s="687"/>
      <c r="CN49" s="687"/>
      <c r="CO49" s="687"/>
      <c r="CP49" s="687"/>
      <c r="CQ49" s="656"/>
      <c r="CR49" s="656"/>
      <c r="CS49" s="656"/>
      <c r="CT49" s="656"/>
      <c r="CU49" s="656"/>
      <c r="CV49" s="656"/>
      <c r="CW49" s="656"/>
      <c r="CX49" s="656"/>
      <c r="CY49" s="656"/>
      <c r="CZ49" s="669"/>
      <c r="DA49" s="665"/>
      <c r="DB49" s="666"/>
      <c r="DC49" s="681"/>
      <c r="DD49" s="681"/>
      <c r="DE49" s="681"/>
      <c r="DF49" s="653"/>
      <c r="DG49" s="668"/>
      <c r="DH49" s="692"/>
      <c r="DI49" s="656"/>
      <c r="DJ49" s="656"/>
      <c r="DK49" s="656"/>
      <c r="DL49" s="656"/>
      <c r="DM49" s="656"/>
      <c r="DN49" s="656"/>
      <c r="DO49" s="657"/>
      <c r="DP49" s="633"/>
      <c r="DQ49" s="634"/>
    </row>
    <row r="50" spans="1:121" ht="21" customHeight="1" x14ac:dyDescent="0.15">
      <c r="A50" s="652">
        <f t="shared" si="0"/>
        <v>44</v>
      </c>
      <c r="B50" s="626"/>
      <c r="C50" s="653"/>
      <c r="D50" s="654"/>
      <c r="E50" s="654"/>
      <c r="F50" s="668"/>
      <c r="G50" s="655"/>
      <c r="H50" s="656"/>
      <c r="I50" s="656"/>
      <c r="J50" s="656"/>
      <c r="K50" s="656"/>
      <c r="L50" s="656"/>
      <c r="M50" s="656"/>
      <c r="N50" s="657"/>
      <c r="O50" s="658"/>
      <c r="P50" s="659"/>
      <c r="Q50" s="656"/>
      <c r="R50" s="656"/>
      <c r="S50" s="656"/>
      <c r="T50" s="657"/>
      <c r="U50" s="656"/>
      <c r="V50" s="656"/>
      <c r="W50" s="656"/>
      <c r="X50" s="656"/>
      <c r="Y50" s="656"/>
      <c r="Z50" s="670"/>
      <c r="AA50" s="670"/>
      <c r="AB50" s="671"/>
      <c r="AC50" s="656"/>
      <c r="AD50" s="656"/>
      <c r="AE50" s="656"/>
      <c r="AF50" s="673"/>
      <c r="AG50" s="673"/>
      <c r="AH50" s="673"/>
      <c r="AI50" s="656"/>
      <c r="AJ50" s="670"/>
      <c r="AK50" s="670"/>
      <c r="AL50" s="671"/>
      <c r="AM50" s="656"/>
      <c r="AN50" s="656"/>
      <c r="AO50" s="656"/>
      <c r="AP50" s="656"/>
      <c r="AQ50" s="656"/>
      <c r="AR50" s="656"/>
      <c r="AS50" s="669"/>
      <c r="AT50" s="665"/>
      <c r="AU50" s="666"/>
      <c r="AV50" s="685"/>
      <c r="AW50" s="667"/>
      <c r="AX50" s="686"/>
      <c r="AY50" s="653"/>
      <c r="AZ50" s="668"/>
      <c r="BA50" s="655"/>
      <c r="BB50" s="656"/>
      <c r="BC50" s="656"/>
      <c r="BD50" s="656"/>
      <c r="BE50" s="656"/>
      <c r="BF50" s="656"/>
      <c r="BG50" s="656"/>
      <c r="BH50" s="657"/>
      <c r="BI50" s="630"/>
      <c r="BJ50" s="653"/>
      <c r="BK50" s="654"/>
      <c r="BL50" s="654"/>
      <c r="BM50" s="654"/>
      <c r="BN50" s="655"/>
      <c r="BO50" s="656"/>
      <c r="BP50" s="656"/>
      <c r="BQ50" s="656"/>
      <c r="BR50" s="656"/>
      <c r="BS50" s="656"/>
      <c r="BT50" s="656"/>
      <c r="BU50" s="657"/>
      <c r="BV50" s="658"/>
      <c r="BW50" s="659"/>
      <c r="BX50" s="656"/>
      <c r="BY50" s="656"/>
      <c r="BZ50" s="656"/>
      <c r="CA50" s="657"/>
      <c r="CB50" s="656"/>
      <c r="CC50" s="656"/>
      <c r="CD50" s="656"/>
      <c r="CE50" s="656"/>
      <c r="CF50" s="656"/>
      <c r="CG50" s="670"/>
      <c r="CH50" s="670"/>
      <c r="CI50" s="671"/>
      <c r="CJ50" s="656"/>
      <c r="CK50" s="656"/>
      <c r="CL50" s="656"/>
      <c r="CM50" s="656"/>
      <c r="CN50" s="656"/>
      <c r="CO50" s="656"/>
      <c r="CP50" s="656"/>
      <c r="CQ50" s="670"/>
      <c r="CR50" s="670"/>
      <c r="CS50" s="671"/>
      <c r="CT50" s="677"/>
      <c r="CU50" s="677"/>
      <c r="CV50" s="678"/>
      <c r="CW50" s="656"/>
      <c r="CX50" s="656"/>
      <c r="CY50" s="663"/>
      <c r="CZ50" s="669"/>
      <c r="DA50" s="665"/>
      <c r="DB50" s="666"/>
      <c r="DC50" s="667"/>
      <c r="DD50" s="667"/>
      <c r="DE50" s="667"/>
      <c r="DF50" s="653"/>
      <c r="DG50" s="668"/>
      <c r="DH50" s="655"/>
      <c r="DI50" s="656"/>
      <c r="DJ50" s="656"/>
      <c r="DK50" s="656"/>
      <c r="DL50" s="656"/>
      <c r="DM50" s="656"/>
      <c r="DN50" s="656"/>
      <c r="DO50" s="657"/>
      <c r="DP50" s="633"/>
      <c r="DQ50" s="634"/>
    </row>
    <row r="51" spans="1:121" ht="21" customHeight="1" x14ac:dyDescent="0.15">
      <c r="A51" s="652">
        <f t="shared" si="0"/>
        <v>45</v>
      </c>
      <c r="B51" s="626"/>
      <c r="C51" s="653"/>
      <c r="D51" s="654"/>
      <c r="E51" s="654"/>
      <c r="F51" s="668"/>
      <c r="G51" s="655"/>
      <c r="H51" s="656"/>
      <c r="I51" s="656"/>
      <c r="J51" s="656"/>
      <c r="K51" s="656"/>
      <c r="L51" s="656"/>
      <c r="M51" s="656"/>
      <c r="N51" s="657"/>
      <c r="O51" s="682"/>
      <c r="P51" s="683"/>
      <c r="Q51" s="661"/>
      <c r="R51" s="661"/>
      <c r="S51" s="661"/>
      <c r="T51" s="662"/>
      <c r="U51" s="656"/>
      <c r="V51" s="656"/>
      <c r="W51" s="656"/>
      <c r="X51" s="656"/>
      <c r="Y51" s="656"/>
      <c r="Z51" s="670"/>
      <c r="AA51" s="670"/>
      <c r="AB51" s="671"/>
      <c r="AC51" s="654"/>
      <c r="AD51" s="654"/>
      <c r="AE51" s="671"/>
      <c r="AF51" s="688"/>
      <c r="AG51" s="688"/>
      <c r="AH51" s="689"/>
      <c r="AI51" s="688"/>
      <c r="AJ51" s="688"/>
      <c r="AK51" s="671"/>
      <c r="AL51" s="656"/>
      <c r="AM51" s="656"/>
      <c r="AN51" s="656"/>
      <c r="AO51" s="656"/>
      <c r="AP51" s="656"/>
      <c r="AQ51" s="656"/>
      <c r="AR51" s="656"/>
      <c r="AS51" s="669"/>
      <c r="AT51" s="665"/>
      <c r="AU51" s="666"/>
      <c r="AV51" s="667"/>
      <c r="AW51" s="667"/>
      <c r="AX51" s="667"/>
      <c r="AY51" s="653"/>
      <c r="AZ51" s="668"/>
      <c r="BA51" s="655"/>
      <c r="BB51" s="656"/>
      <c r="BC51" s="656"/>
      <c r="BD51" s="656"/>
      <c r="BE51" s="656"/>
      <c r="BF51" s="656"/>
      <c r="BG51" s="656"/>
      <c r="BH51" s="657"/>
      <c r="BI51" s="630"/>
      <c r="BJ51" s="653"/>
      <c r="BK51" s="654"/>
      <c r="BL51" s="654"/>
      <c r="BM51" s="654"/>
      <c r="BN51" s="655"/>
      <c r="BO51" s="656"/>
      <c r="BP51" s="656"/>
      <c r="BQ51" s="656"/>
      <c r="BR51" s="656"/>
      <c r="BS51" s="656"/>
      <c r="BT51" s="656"/>
      <c r="BU51" s="657"/>
      <c r="BV51" s="658"/>
      <c r="BW51" s="659"/>
      <c r="BX51" s="656"/>
      <c r="BY51" s="656"/>
      <c r="BZ51" s="656"/>
      <c r="CA51" s="657"/>
      <c r="CB51" s="656"/>
      <c r="CC51" s="656"/>
      <c r="CD51" s="656"/>
      <c r="CE51" s="656"/>
      <c r="CF51" s="656"/>
      <c r="CG51" s="670"/>
      <c r="CH51" s="670"/>
      <c r="CI51" s="671"/>
      <c r="CJ51" s="696"/>
      <c r="CK51" s="671"/>
      <c r="CL51" s="679"/>
      <c r="CM51" s="679"/>
      <c r="CN51" s="680"/>
      <c r="CO51" s="656"/>
      <c r="CP51" s="656"/>
      <c r="CQ51" s="681"/>
      <c r="CR51" s="681"/>
      <c r="CS51" s="671"/>
      <c r="CT51" s="679"/>
      <c r="CU51" s="679"/>
      <c r="CV51" s="656"/>
      <c r="CW51" s="656"/>
      <c r="CX51" s="656"/>
      <c r="CY51" s="663"/>
      <c r="CZ51" s="669"/>
      <c r="DA51" s="665"/>
      <c r="DB51" s="666"/>
      <c r="DC51" s="667"/>
      <c r="DD51" s="667"/>
      <c r="DE51" s="667"/>
      <c r="DF51" s="653"/>
      <c r="DG51" s="668"/>
      <c r="DH51" s="655"/>
      <c r="DI51" s="656"/>
      <c r="DJ51" s="656"/>
      <c r="DK51" s="656"/>
      <c r="DL51" s="656"/>
      <c r="DM51" s="656"/>
      <c r="DN51" s="656"/>
      <c r="DO51" s="657"/>
      <c r="DP51" s="633"/>
      <c r="DQ51" s="634"/>
    </row>
    <row r="52" spans="1:121" ht="21" customHeight="1" x14ac:dyDescent="0.15">
      <c r="A52" s="652">
        <f t="shared" si="0"/>
        <v>46</v>
      </c>
      <c r="B52" s="626"/>
      <c r="C52" s="653"/>
      <c r="D52" s="654"/>
      <c r="E52" s="654"/>
      <c r="F52" s="668"/>
      <c r="G52" s="655"/>
      <c r="H52" s="656"/>
      <c r="I52" s="656"/>
      <c r="J52" s="656"/>
      <c r="K52" s="656"/>
      <c r="L52" s="656"/>
      <c r="M52" s="656"/>
      <c r="N52" s="657"/>
      <c r="O52" s="658"/>
      <c r="P52" s="659"/>
      <c r="Q52" s="656"/>
      <c r="R52" s="656"/>
      <c r="S52" s="656"/>
      <c r="T52" s="657"/>
      <c r="U52" s="661"/>
      <c r="V52" s="693"/>
      <c r="W52" s="693"/>
      <c r="X52" s="694"/>
      <c r="Y52" s="656"/>
      <c r="Z52" s="670"/>
      <c r="AA52" s="670"/>
      <c r="AB52" s="671"/>
      <c r="AC52" s="656"/>
      <c r="AD52" s="656"/>
      <c r="AE52" s="656"/>
      <c r="AF52" s="673"/>
      <c r="AG52" s="673"/>
      <c r="AH52" s="673"/>
      <c r="AI52" s="656"/>
      <c r="AJ52" s="670"/>
      <c r="AK52" s="670"/>
      <c r="AL52" s="671"/>
      <c r="AM52" s="656"/>
      <c r="AN52" s="656"/>
      <c r="AO52" s="656"/>
      <c r="AP52" s="656"/>
      <c r="AQ52" s="656"/>
      <c r="AR52" s="663"/>
      <c r="AS52" s="669"/>
      <c r="AT52" s="665"/>
      <c r="AU52" s="666"/>
      <c r="AV52" s="685"/>
      <c r="AW52" s="667"/>
      <c r="AX52" s="686"/>
      <c r="AY52" s="653"/>
      <c r="AZ52" s="668"/>
      <c r="BA52" s="655"/>
      <c r="BB52" s="656"/>
      <c r="BC52" s="656"/>
      <c r="BD52" s="656"/>
      <c r="BE52" s="656"/>
      <c r="BF52" s="656"/>
      <c r="BG52" s="656"/>
      <c r="BH52" s="657"/>
      <c r="BI52" s="630"/>
      <c r="BJ52" s="653"/>
      <c r="BK52" s="654"/>
      <c r="BL52" s="654"/>
      <c r="BM52" s="654"/>
      <c r="BN52" s="655"/>
      <c r="BO52" s="656"/>
      <c r="BP52" s="656"/>
      <c r="BQ52" s="656"/>
      <c r="BR52" s="656"/>
      <c r="BS52" s="656"/>
      <c r="BT52" s="656"/>
      <c r="BU52" s="657"/>
      <c r="BV52" s="658"/>
      <c r="BW52" s="659"/>
      <c r="BX52" s="656"/>
      <c r="BY52" s="656"/>
      <c r="BZ52" s="656"/>
      <c r="CA52" s="657"/>
      <c r="CB52" s="661"/>
      <c r="CC52" s="693"/>
      <c r="CD52" s="693"/>
      <c r="CE52" s="694"/>
      <c r="CF52" s="656"/>
      <c r="CG52" s="670"/>
      <c r="CH52" s="670"/>
      <c r="CI52" s="671"/>
      <c r="CJ52" s="656"/>
      <c r="CK52" s="656"/>
      <c r="CL52" s="656"/>
      <c r="CM52" s="673"/>
      <c r="CN52" s="673"/>
      <c r="CO52" s="673"/>
      <c r="CP52" s="656"/>
      <c r="CQ52" s="670"/>
      <c r="CR52" s="670"/>
      <c r="CS52" s="671"/>
      <c r="CT52" s="656"/>
      <c r="CU52" s="656"/>
      <c r="CV52" s="656"/>
      <c r="CW52" s="656"/>
      <c r="CX52" s="656"/>
      <c r="CY52" s="656"/>
      <c r="CZ52" s="669"/>
      <c r="DA52" s="665"/>
      <c r="DB52" s="666"/>
      <c r="DC52" s="667"/>
      <c r="DD52" s="667"/>
      <c r="DE52" s="667"/>
      <c r="DF52" s="653"/>
      <c r="DG52" s="668"/>
      <c r="DH52" s="655"/>
      <c r="DI52" s="656"/>
      <c r="DJ52" s="656"/>
      <c r="DK52" s="656"/>
      <c r="DL52" s="656"/>
      <c r="DM52" s="656"/>
      <c r="DN52" s="656"/>
      <c r="DO52" s="657"/>
      <c r="DP52" s="633"/>
      <c r="DQ52" s="634"/>
    </row>
    <row r="53" spans="1:121" ht="21" customHeight="1" x14ac:dyDescent="0.15">
      <c r="A53" s="652">
        <f t="shared" si="0"/>
        <v>47</v>
      </c>
      <c r="B53" s="626"/>
      <c r="C53" s="653"/>
      <c r="D53" s="654"/>
      <c r="E53" s="654"/>
      <c r="F53" s="668"/>
      <c r="G53" s="655"/>
      <c r="H53" s="656"/>
      <c r="I53" s="656"/>
      <c r="J53" s="656"/>
      <c r="K53" s="656"/>
      <c r="L53" s="656"/>
      <c r="M53" s="656"/>
      <c r="N53" s="657"/>
      <c r="O53" s="658"/>
      <c r="P53" s="659"/>
      <c r="Q53" s="656"/>
      <c r="R53" s="656"/>
      <c r="S53" s="656"/>
      <c r="T53" s="657"/>
      <c r="U53" s="656"/>
      <c r="V53" s="673"/>
      <c r="W53" s="673"/>
      <c r="X53" s="673"/>
      <c r="Y53" s="656"/>
      <c r="Z53" s="688"/>
      <c r="AA53" s="688"/>
      <c r="AB53" s="671"/>
      <c r="AC53" s="654"/>
      <c r="AD53" s="654"/>
      <c r="AE53" s="671"/>
      <c r="AF53" s="688"/>
      <c r="AG53" s="688"/>
      <c r="AH53" s="689"/>
      <c r="AI53" s="688"/>
      <c r="AJ53" s="688"/>
      <c r="AK53" s="671"/>
      <c r="AL53" s="656"/>
      <c r="AM53" s="656"/>
      <c r="AN53" s="656"/>
      <c r="AO53" s="656"/>
      <c r="AP53" s="656"/>
      <c r="AQ53" s="656"/>
      <c r="AR53" s="656"/>
      <c r="AS53" s="669"/>
      <c r="AT53" s="665"/>
      <c r="AU53" s="666"/>
      <c r="AV53" s="681"/>
      <c r="AW53" s="681"/>
      <c r="AX53" s="681"/>
      <c r="AY53" s="653"/>
      <c r="AZ53" s="668"/>
      <c r="BA53" s="692"/>
      <c r="BB53" s="656"/>
      <c r="BC53" s="656"/>
      <c r="BD53" s="656"/>
      <c r="BE53" s="656"/>
      <c r="BF53" s="656"/>
      <c r="BG53" s="656"/>
      <c r="BH53" s="657"/>
      <c r="BI53" s="630"/>
      <c r="BJ53" s="653"/>
      <c r="BK53" s="654"/>
      <c r="BL53" s="654"/>
      <c r="BM53" s="668"/>
      <c r="BN53" s="655"/>
      <c r="BO53" s="656"/>
      <c r="BP53" s="656"/>
      <c r="BQ53" s="656"/>
      <c r="BR53" s="656"/>
      <c r="BS53" s="656"/>
      <c r="BT53" s="656"/>
      <c r="BU53" s="657"/>
      <c r="BV53" s="682"/>
      <c r="BW53" s="683"/>
      <c r="BX53" s="661"/>
      <c r="BY53" s="661"/>
      <c r="BZ53" s="661"/>
      <c r="CA53" s="662"/>
      <c r="CB53" s="656"/>
      <c r="CC53" s="673"/>
      <c r="CD53" s="673"/>
      <c r="CE53" s="673"/>
      <c r="CF53" s="656"/>
      <c r="CG53" s="688"/>
      <c r="CH53" s="688"/>
      <c r="CI53" s="671"/>
      <c r="CJ53" s="654"/>
      <c r="CK53" s="654"/>
      <c r="CL53" s="671"/>
      <c r="CM53" s="688"/>
      <c r="CN53" s="688"/>
      <c r="CO53" s="689"/>
      <c r="CP53" s="688"/>
      <c r="CQ53" s="688"/>
      <c r="CR53" s="671"/>
      <c r="CS53" s="656"/>
      <c r="CT53" s="656"/>
      <c r="CU53" s="656"/>
      <c r="CV53" s="656"/>
      <c r="CW53" s="656"/>
      <c r="CX53" s="656"/>
      <c r="CY53" s="663"/>
      <c r="CZ53" s="669"/>
      <c r="DA53" s="665"/>
      <c r="DB53" s="666"/>
      <c r="DC53" s="685"/>
      <c r="DD53" s="667"/>
      <c r="DE53" s="686"/>
      <c r="DF53" s="653"/>
      <c r="DG53" s="668"/>
      <c r="DH53" s="655"/>
      <c r="DI53" s="656"/>
      <c r="DJ53" s="656"/>
      <c r="DK53" s="656"/>
      <c r="DL53" s="656"/>
      <c r="DM53" s="656"/>
      <c r="DN53" s="656"/>
      <c r="DO53" s="657"/>
      <c r="DP53" s="633"/>
      <c r="DQ53" s="634"/>
    </row>
    <row r="54" spans="1:121" ht="21" customHeight="1" x14ac:dyDescent="0.15">
      <c r="A54" s="652">
        <f t="shared" si="0"/>
        <v>48</v>
      </c>
      <c r="B54" s="626"/>
      <c r="C54" s="653"/>
      <c r="D54" s="654"/>
      <c r="E54" s="654"/>
      <c r="F54" s="668"/>
      <c r="G54" s="655"/>
      <c r="H54" s="656"/>
      <c r="I54" s="656"/>
      <c r="J54" s="656"/>
      <c r="K54" s="656"/>
      <c r="L54" s="656"/>
      <c r="M54" s="656"/>
      <c r="N54" s="657"/>
      <c r="O54" s="658"/>
      <c r="P54" s="659"/>
      <c r="Q54" s="656"/>
      <c r="R54" s="656"/>
      <c r="S54" s="656"/>
      <c r="T54" s="657"/>
      <c r="U54" s="661"/>
      <c r="V54" s="693"/>
      <c r="W54" s="693"/>
      <c r="X54" s="694"/>
      <c r="Y54" s="656"/>
      <c r="Z54" s="670"/>
      <c r="AA54" s="670"/>
      <c r="AB54" s="671"/>
      <c r="AC54" s="656"/>
      <c r="AD54" s="656"/>
      <c r="AE54" s="656"/>
      <c r="AF54" s="673"/>
      <c r="AG54" s="673"/>
      <c r="AH54" s="673"/>
      <c r="AI54" s="656"/>
      <c r="AJ54" s="670"/>
      <c r="AK54" s="670"/>
      <c r="AL54" s="671"/>
      <c r="AM54" s="656"/>
      <c r="AN54" s="656"/>
      <c r="AO54" s="656"/>
      <c r="AP54" s="656"/>
      <c r="AQ54" s="656"/>
      <c r="AR54" s="656"/>
      <c r="AS54" s="669"/>
      <c r="AT54" s="665"/>
      <c r="AU54" s="666"/>
      <c r="AV54" s="685"/>
      <c r="AW54" s="667"/>
      <c r="AX54" s="686"/>
      <c r="AY54" s="653"/>
      <c r="AZ54" s="668"/>
      <c r="BA54" s="655"/>
      <c r="BB54" s="656"/>
      <c r="BC54" s="656"/>
      <c r="BD54" s="656"/>
      <c r="BE54" s="656"/>
      <c r="BF54" s="656"/>
      <c r="BG54" s="656"/>
      <c r="BH54" s="657"/>
      <c r="BI54" s="630"/>
      <c r="BJ54" s="653"/>
      <c r="BK54" s="654"/>
      <c r="BL54" s="654"/>
      <c r="BM54" s="654"/>
      <c r="BN54" s="655"/>
      <c r="BO54" s="656"/>
      <c r="BP54" s="656"/>
      <c r="BQ54" s="656"/>
      <c r="BR54" s="656"/>
      <c r="BS54" s="656"/>
      <c r="BT54" s="656"/>
      <c r="BU54" s="657"/>
      <c r="BV54" s="658"/>
      <c r="BW54" s="659"/>
      <c r="BX54" s="656"/>
      <c r="BY54" s="656"/>
      <c r="BZ54" s="656"/>
      <c r="CA54" s="657"/>
      <c r="CB54" s="656"/>
      <c r="CC54" s="656"/>
      <c r="CD54" s="656"/>
      <c r="CE54" s="656"/>
      <c r="CF54" s="656"/>
      <c r="CG54" s="656"/>
      <c r="CH54" s="656"/>
      <c r="CI54" s="656"/>
      <c r="CJ54" s="656"/>
      <c r="CK54" s="656"/>
      <c r="CL54" s="656"/>
      <c r="CM54" s="656"/>
      <c r="CN54" s="680"/>
      <c r="CO54" s="680"/>
      <c r="CP54" s="656"/>
      <c r="CQ54" s="656"/>
      <c r="CR54" s="656"/>
      <c r="CS54" s="656"/>
      <c r="CT54" s="656"/>
      <c r="CU54" s="656"/>
      <c r="CV54" s="656"/>
      <c r="CW54" s="656"/>
      <c r="CX54" s="656"/>
      <c r="CY54" s="656"/>
      <c r="CZ54" s="669"/>
      <c r="DA54" s="665"/>
      <c r="DB54" s="666"/>
      <c r="DC54" s="667"/>
      <c r="DD54" s="667"/>
      <c r="DE54" s="667"/>
      <c r="DF54" s="653"/>
      <c r="DG54" s="668"/>
      <c r="DH54" s="655"/>
      <c r="DI54" s="656"/>
      <c r="DJ54" s="656"/>
      <c r="DK54" s="656"/>
      <c r="DL54" s="656"/>
      <c r="DM54" s="656"/>
      <c r="DN54" s="656"/>
      <c r="DO54" s="657"/>
      <c r="DP54" s="633"/>
      <c r="DQ54" s="634"/>
    </row>
    <row r="55" spans="1:121" ht="21" customHeight="1" x14ac:dyDescent="0.15">
      <c r="A55" s="652">
        <f t="shared" si="0"/>
        <v>49</v>
      </c>
      <c r="B55" s="626"/>
      <c r="C55" s="653"/>
      <c r="D55" s="654"/>
      <c r="E55" s="654"/>
      <c r="F55" s="668"/>
      <c r="G55" s="655"/>
      <c r="H55" s="656"/>
      <c r="I55" s="656"/>
      <c r="J55" s="656"/>
      <c r="K55" s="656"/>
      <c r="L55" s="656"/>
      <c r="M55" s="656"/>
      <c r="N55" s="657"/>
      <c r="O55" s="658"/>
      <c r="P55" s="659"/>
      <c r="Q55" s="660"/>
      <c r="R55" s="679"/>
      <c r="S55" s="679"/>
      <c r="T55" s="697"/>
      <c r="U55" s="656"/>
      <c r="V55" s="656"/>
      <c r="W55" s="656"/>
      <c r="X55" s="656"/>
      <c r="Y55" s="656"/>
      <c r="Z55" s="656"/>
      <c r="AA55" s="656"/>
      <c r="AB55" s="656"/>
      <c r="AC55" s="656"/>
      <c r="AD55" s="656"/>
      <c r="AE55" s="656"/>
      <c r="AF55" s="656"/>
      <c r="AG55" s="656"/>
      <c r="AH55" s="656"/>
      <c r="AI55" s="656"/>
      <c r="AJ55" s="656"/>
      <c r="AK55" s="656"/>
      <c r="AL55" s="656"/>
      <c r="AM55" s="656"/>
      <c r="AN55" s="656"/>
      <c r="AO55" s="656"/>
      <c r="AP55" s="656"/>
      <c r="AQ55" s="656"/>
      <c r="AR55" s="663"/>
      <c r="AS55" s="669"/>
      <c r="AT55" s="665"/>
      <c r="AU55" s="666"/>
      <c r="AV55" s="685"/>
      <c r="AW55" s="667"/>
      <c r="AX55" s="686"/>
      <c r="AY55" s="653"/>
      <c r="AZ55" s="668"/>
      <c r="BA55" s="655"/>
      <c r="BB55" s="656"/>
      <c r="BC55" s="656"/>
      <c r="BD55" s="656"/>
      <c r="BE55" s="656"/>
      <c r="BF55" s="656"/>
      <c r="BG55" s="656"/>
      <c r="BH55" s="657"/>
      <c r="BI55" s="630"/>
      <c r="BJ55" s="653"/>
      <c r="BK55" s="654"/>
      <c r="BL55" s="654"/>
      <c r="BM55" s="654"/>
      <c r="BN55" s="655"/>
      <c r="BO55" s="656"/>
      <c r="BP55" s="656"/>
      <c r="BQ55" s="656"/>
      <c r="BR55" s="656"/>
      <c r="BS55" s="656"/>
      <c r="BT55" s="656"/>
      <c r="BU55" s="657"/>
      <c r="BV55" s="658"/>
      <c r="BW55" s="659"/>
      <c r="BX55" s="660"/>
      <c r="BY55" s="661"/>
      <c r="BZ55" s="661"/>
      <c r="CA55" s="662"/>
      <c r="CB55" s="656"/>
      <c r="CC55" s="656"/>
      <c r="CD55" s="656"/>
      <c r="CE55" s="656"/>
      <c r="CF55" s="656"/>
      <c r="CG55" s="656"/>
      <c r="CH55" s="656"/>
      <c r="CI55" s="656"/>
      <c r="CJ55" s="656"/>
      <c r="CK55" s="656"/>
      <c r="CL55" s="656"/>
      <c r="CM55" s="656"/>
      <c r="CN55" s="656"/>
      <c r="CO55" s="656"/>
      <c r="CP55" s="656"/>
      <c r="CQ55" s="656"/>
      <c r="CR55" s="656"/>
      <c r="CS55" s="656"/>
      <c r="CT55" s="656"/>
      <c r="CU55" s="656"/>
      <c r="CV55" s="656"/>
      <c r="CW55" s="656"/>
      <c r="CX55" s="656"/>
      <c r="CY55" s="663"/>
      <c r="CZ55" s="669"/>
      <c r="DA55" s="665"/>
      <c r="DB55" s="666"/>
      <c r="DC55" s="667"/>
      <c r="DD55" s="667"/>
      <c r="DE55" s="667"/>
      <c r="DF55" s="653"/>
      <c r="DG55" s="668"/>
      <c r="DH55" s="655"/>
      <c r="DI55" s="656"/>
      <c r="DJ55" s="656"/>
      <c r="DK55" s="656"/>
      <c r="DL55" s="656"/>
      <c r="DM55" s="656"/>
      <c r="DN55" s="656"/>
      <c r="DO55" s="657"/>
      <c r="DP55" s="633"/>
      <c r="DQ55" s="634"/>
    </row>
    <row r="56" spans="1:121" ht="21" customHeight="1" x14ac:dyDescent="0.15">
      <c r="A56" s="652">
        <f t="shared" si="0"/>
        <v>50</v>
      </c>
      <c r="B56" s="626"/>
      <c r="C56" s="653"/>
      <c r="D56" s="654"/>
      <c r="E56" s="654"/>
      <c r="F56" s="668"/>
      <c r="G56" s="655"/>
      <c r="H56" s="656"/>
      <c r="I56" s="656"/>
      <c r="J56" s="656"/>
      <c r="K56" s="656"/>
      <c r="L56" s="656"/>
      <c r="M56" s="656"/>
      <c r="N56" s="657"/>
      <c r="O56" s="658"/>
      <c r="P56" s="659"/>
      <c r="Q56" s="656"/>
      <c r="R56" s="656"/>
      <c r="S56" s="656"/>
      <c r="T56" s="657"/>
      <c r="U56" s="656"/>
      <c r="V56" s="656"/>
      <c r="W56" s="656"/>
      <c r="X56" s="656"/>
      <c r="Y56" s="656"/>
      <c r="Z56" s="656"/>
      <c r="AA56" s="656"/>
      <c r="AB56" s="656"/>
      <c r="AC56" s="656"/>
      <c r="AD56" s="656"/>
      <c r="AE56" s="656"/>
      <c r="AF56" s="656"/>
      <c r="AG56" s="656"/>
      <c r="AH56" s="656"/>
      <c r="AI56" s="656"/>
      <c r="AJ56" s="656"/>
      <c r="AK56" s="656"/>
      <c r="AL56" s="656"/>
      <c r="AM56" s="656"/>
      <c r="AN56" s="656"/>
      <c r="AO56" s="656"/>
      <c r="AP56" s="656"/>
      <c r="AQ56" s="656"/>
      <c r="AR56" s="663"/>
      <c r="AS56" s="669"/>
      <c r="AT56" s="665"/>
      <c r="AU56" s="666"/>
      <c r="AV56" s="685"/>
      <c r="AW56" s="667"/>
      <c r="AX56" s="686"/>
      <c r="AY56" s="653"/>
      <c r="AZ56" s="668"/>
      <c r="BA56" s="655"/>
      <c r="BB56" s="656"/>
      <c r="BC56" s="656"/>
      <c r="BD56" s="656"/>
      <c r="BE56" s="656"/>
      <c r="BF56" s="656"/>
      <c r="BG56" s="656"/>
      <c r="BH56" s="657"/>
      <c r="BI56" s="630"/>
      <c r="BJ56" s="653"/>
      <c r="BK56" s="654"/>
      <c r="BL56" s="654"/>
      <c r="BM56" s="654"/>
      <c r="BN56" s="655"/>
      <c r="BO56" s="656"/>
      <c r="BP56" s="656"/>
      <c r="BQ56" s="656"/>
      <c r="BR56" s="656"/>
      <c r="BS56" s="656"/>
      <c r="BT56" s="656"/>
      <c r="BU56" s="657"/>
      <c r="BV56" s="658"/>
      <c r="BW56" s="659"/>
      <c r="BX56" s="656"/>
      <c r="BY56" s="656"/>
      <c r="BZ56" s="656"/>
      <c r="CA56" s="657"/>
      <c r="CB56" s="656"/>
      <c r="CC56" s="656"/>
      <c r="CD56" s="656"/>
      <c r="CE56" s="656"/>
      <c r="CF56" s="656"/>
      <c r="CG56" s="656"/>
      <c r="CH56" s="656"/>
      <c r="CI56" s="656"/>
      <c r="CJ56" s="656"/>
      <c r="CK56" s="656"/>
      <c r="CL56" s="656"/>
      <c r="CM56" s="656"/>
      <c r="CN56" s="656"/>
      <c r="CO56" s="656"/>
      <c r="CP56" s="656"/>
      <c r="CQ56" s="656"/>
      <c r="CR56" s="656"/>
      <c r="CS56" s="656"/>
      <c r="CT56" s="656"/>
      <c r="CU56" s="656"/>
      <c r="CV56" s="656"/>
      <c r="CW56" s="656"/>
      <c r="CX56" s="656"/>
      <c r="CY56" s="663"/>
      <c r="CZ56" s="669"/>
      <c r="DA56" s="665"/>
      <c r="DB56" s="666"/>
      <c r="DC56" s="667"/>
      <c r="DD56" s="667"/>
      <c r="DE56" s="667"/>
      <c r="DF56" s="653"/>
      <c r="DG56" s="668"/>
      <c r="DH56" s="655"/>
      <c r="DI56" s="656"/>
      <c r="DJ56" s="656"/>
      <c r="DK56" s="656"/>
      <c r="DL56" s="656"/>
      <c r="DM56" s="656"/>
      <c r="DN56" s="656"/>
      <c r="DO56" s="657"/>
      <c r="DP56" s="633"/>
      <c r="DQ56" s="634"/>
    </row>
    <row r="57" spans="1:121" ht="21" customHeight="1" x14ac:dyDescent="0.15">
      <c r="A57" s="652">
        <f t="shared" si="0"/>
        <v>51</v>
      </c>
      <c r="B57" s="626"/>
      <c r="C57" s="653"/>
      <c r="D57" s="654"/>
      <c r="E57" s="654"/>
      <c r="F57" s="668"/>
      <c r="G57" s="655"/>
      <c r="H57" s="656"/>
      <c r="I57" s="656"/>
      <c r="J57" s="656"/>
      <c r="K57" s="656"/>
      <c r="L57" s="656"/>
      <c r="M57" s="656"/>
      <c r="N57" s="657"/>
      <c r="O57" s="658"/>
      <c r="P57" s="659"/>
      <c r="Q57" s="656"/>
      <c r="R57" s="656"/>
      <c r="S57" s="656"/>
      <c r="T57" s="657"/>
      <c r="U57" s="656"/>
      <c r="V57" s="656"/>
      <c r="W57" s="656"/>
      <c r="X57" s="656"/>
      <c r="Y57" s="656"/>
      <c r="Z57" s="670"/>
      <c r="AA57" s="670"/>
      <c r="AB57" s="671"/>
      <c r="AC57" s="672"/>
      <c r="AD57" s="656"/>
      <c r="AE57" s="656"/>
      <c r="AF57" s="673"/>
      <c r="AG57" s="673"/>
      <c r="AH57" s="674"/>
      <c r="AI57" s="674"/>
      <c r="AJ57" s="663"/>
      <c r="AK57" s="672"/>
      <c r="AL57" s="663"/>
      <c r="AM57" s="672"/>
      <c r="AN57" s="675"/>
      <c r="AO57" s="675"/>
      <c r="AP57" s="656"/>
      <c r="AQ57" s="656"/>
      <c r="AR57" s="663"/>
      <c r="AS57" s="669"/>
      <c r="AT57" s="665"/>
      <c r="AU57" s="666"/>
      <c r="AV57" s="685"/>
      <c r="AW57" s="667"/>
      <c r="AX57" s="686"/>
      <c r="AY57" s="653"/>
      <c r="AZ57" s="668"/>
      <c r="BA57" s="676"/>
      <c r="BB57" s="656"/>
      <c r="BC57" s="656"/>
      <c r="BD57" s="656"/>
      <c r="BE57" s="656"/>
      <c r="BF57" s="656"/>
      <c r="BG57" s="656"/>
      <c r="BH57" s="657"/>
      <c r="BI57" s="630"/>
      <c r="BJ57" s="653"/>
      <c r="BK57" s="654"/>
      <c r="BL57" s="654"/>
      <c r="BM57" s="654"/>
      <c r="BN57" s="655"/>
      <c r="BO57" s="656"/>
      <c r="BP57" s="656"/>
      <c r="BQ57" s="656"/>
      <c r="BR57" s="656"/>
      <c r="BS57" s="656"/>
      <c r="BT57" s="656"/>
      <c r="BU57" s="657"/>
      <c r="BV57" s="658"/>
      <c r="BW57" s="659"/>
      <c r="BX57" s="656"/>
      <c r="BY57" s="656"/>
      <c r="BZ57" s="656"/>
      <c r="CA57" s="657"/>
      <c r="CB57" s="656"/>
      <c r="CC57" s="656"/>
      <c r="CD57" s="656"/>
      <c r="CE57" s="656"/>
      <c r="CF57" s="656"/>
      <c r="CG57" s="670"/>
      <c r="CH57" s="670"/>
      <c r="CI57" s="671"/>
      <c r="CJ57" s="672"/>
      <c r="CK57" s="656"/>
      <c r="CL57" s="656"/>
      <c r="CM57" s="673"/>
      <c r="CN57" s="673"/>
      <c r="CO57" s="674"/>
      <c r="CP57" s="674"/>
      <c r="CQ57" s="663"/>
      <c r="CR57" s="672"/>
      <c r="CS57" s="663"/>
      <c r="CT57" s="672"/>
      <c r="CU57" s="675"/>
      <c r="CV57" s="675"/>
      <c r="CW57" s="656"/>
      <c r="CX57" s="656"/>
      <c r="CY57" s="663"/>
      <c r="CZ57" s="669"/>
      <c r="DA57" s="665"/>
      <c r="DB57" s="666"/>
      <c r="DC57" s="667"/>
      <c r="DD57" s="667"/>
      <c r="DE57" s="667"/>
      <c r="DF57" s="653"/>
      <c r="DG57" s="668"/>
      <c r="DH57" s="676"/>
      <c r="DI57" s="656"/>
      <c r="DJ57" s="656"/>
      <c r="DK57" s="656"/>
      <c r="DL57" s="656"/>
      <c r="DM57" s="656"/>
      <c r="DN57" s="656"/>
      <c r="DO57" s="657"/>
      <c r="DP57" s="633"/>
      <c r="DQ57" s="634"/>
    </row>
    <row r="58" spans="1:121" ht="21" customHeight="1" x14ac:dyDescent="0.15">
      <c r="A58" s="652">
        <f t="shared" si="0"/>
        <v>52</v>
      </c>
      <c r="B58" s="626"/>
      <c r="C58" s="653"/>
      <c r="D58" s="654"/>
      <c r="E58" s="654"/>
      <c r="F58" s="654"/>
      <c r="G58" s="655"/>
      <c r="H58" s="656"/>
      <c r="I58" s="656"/>
      <c r="J58" s="656"/>
      <c r="K58" s="656"/>
      <c r="L58" s="656"/>
      <c r="M58" s="656"/>
      <c r="N58" s="657"/>
      <c r="O58" s="658"/>
      <c r="P58" s="659"/>
      <c r="Q58" s="656"/>
      <c r="R58" s="656"/>
      <c r="S58" s="656"/>
      <c r="T58" s="657"/>
      <c r="U58" s="656"/>
      <c r="V58" s="656"/>
      <c r="W58" s="656"/>
      <c r="X58" s="656"/>
      <c r="Y58" s="656"/>
      <c r="Z58" s="670"/>
      <c r="AA58" s="670"/>
      <c r="AB58" s="671"/>
      <c r="AC58" s="656"/>
      <c r="AD58" s="656"/>
      <c r="AE58" s="656"/>
      <c r="AF58" s="656"/>
      <c r="AG58" s="656"/>
      <c r="AH58" s="656"/>
      <c r="AI58" s="656"/>
      <c r="AJ58" s="670"/>
      <c r="AK58" s="670"/>
      <c r="AL58" s="671"/>
      <c r="AM58" s="677"/>
      <c r="AN58" s="677"/>
      <c r="AO58" s="678"/>
      <c r="AP58" s="656"/>
      <c r="AQ58" s="656"/>
      <c r="AR58" s="663"/>
      <c r="AS58" s="669"/>
      <c r="AT58" s="665"/>
      <c r="AU58" s="666"/>
      <c r="AV58" s="667"/>
      <c r="AW58" s="667"/>
      <c r="AX58" s="667"/>
      <c r="AY58" s="653"/>
      <c r="AZ58" s="668"/>
      <c r="BA58" s="655"/>
      <c r="BB58" s="656"/>
      <c r="BC58" s="656"/>
      <c r="BD58" s="656"/>
      <c r="BE58" s="656"/>
      <c r="BF58" s="656"/>
      <c r="BG58" s="656"/>
      <c r="BH58" s="657"/>
      <c r="BI58" s="630"/>
      <c r="BJ58" s="653"/>
      <c r="BK58" s="654"/>
      <c r="BL58" s="654"/>
      <c r="BM58" s="654"/>
      <c r="BN58" s="655"/>
      <c r="BO58" s="656"/>
      <c r="BP58" s="656"/>
      <c r="BQ58" s="656"/>
      <c r="BR58" s="656"/>
      <c r="BS58" s="656"/>
      <c r="BT58" s="656"/>
      <c r="BU58" s="657"/>
      <c r="BV58" s="658"/>
      <c r="BW58" s="659"/>
      <c r="BX58" s="656"/>
      <c r="BY58" s="656"/>
      <c r="BZ58" s="656"/>
      <c r="CA58" s="657"/>
      <c r="CB58" s="656"/>
      <c r="CC58" s="656"/>
      <c r="CD58" s="656"/>
      <c r="CE58" s="656"/>
      <c r="CF58" s="656"/>
      <c r="CG58" s="670"/>
      <c r="CH58" s="670"/>
      <c r="CI58" s="671"/>
      <c r="CJ58" s="656"/>
      <c r="CK58" s="656"/>
      <c r="CL58" s="656"/>
      <c r="CM58" s="656"/>
      <c r="CN58" s="656"/>
      <c r="CO58" s="656"/>
      <c r="CP58" s="656"/>
      <c r="CQ58" s="670"/>
      <c r="CR58" s="670"/>
      <c r="CS58" s="671"/>
      <c r="CT58" s="677"/>
      <c r="CU58" s="677"/>
      <c r="CV58" s="678"/>
      <c r="CW58" s="656"/>
      <c r="CX58" s="656"/>
      <c r="CY58" s="663"/>
      <c r="CZ58" s="669"/>
      <c r="DA58" s="665"/>
      <c r="DB58" s="666"/>
      <c r="DC58" s="667"/>
      <c r="DD58" s="667"/>
      <c r="DE58" s="667"/>
      <c r="DF58" s="653"/>
      <c r="DG58" s="668"/>
      <c r="DH58" s="655"/>
      <c r="DI58" s="656"/>
      <c r="DJ58" s="656"/>
      <c r="DK58" s="656"/>
      <c r="DL58" s="656"/>
      <c r="DM58" s="656"/>
      <c r="DN58" s="656"/>
      <c r="DO58" s="657"/>
      <c r="DP58" s="633"/>
      <c r="DQ58" s="634"/>
    </row>
    <row r="59" spans="1:121" ht="21" customHeight="1" x14ac:dyDescent="0.15">
      <c r="A59" s="652">
        <f t="shared" si="0"/>
        <v>53</v>
      </c>
      <c r="B59" s="626"/>
      <c r="C59" s="653"/>
      <c r="D59" s="654"/>
      <c r="E59" s="654"/>
      <c r="F59" s="654"/>
      <c r="G59" s="655"/>
      <c r="H59" s="656"/>
      <c r="I59" s="656"/>
      <c r="J59" s="656"/>
      <c r="K59" s="656"/>
      <c r="L59" s="656"/>
      <c r="M59" s="656"/>
      <c r="N59" s="657"/>
      <c r="O59" s="658"/>
      <c r="P59" s="659"/>
      <c r="Q59" s="656"/>
      <c r="R59" s="656"/>
      <c r="S59" s="656"/>
      <c r="T59" s="657"/>
      <c r="U59" s="656"/>
      <c r="V59" s="656"/>
      <c r="W59" s="656"/>
      <c r="X59" s="656"/>
      <c r="Y59" s="656"/>
      <c r="Z59" s="656"/>
      <c r="AA59" s="656"/>
      <c r="AB59" s="667"/>
      <c r="AC59" s="667"/>
      <c r="AD59" s="671"/>
      <c r="AE59" s="679"/>
      <c r="AF59" s="679"/>
      <c r="AG59" s="680"/>
      <c r="AH59" s="656"/>
      <c r="AI59" s="656"/>
      <c r="AJ59" s="681"/>
      <c r="AK59" s="681"/>
      <c r="AL59" s="671"/>
      <c r="AM59" s="679"/>
      <c r="AN59" s="679"/>
      <c r="AO59" s="656"/>
      <c r="AP59" s="656"/>
      <c r="AQ59" s="656"/>
      <c r="AR59" s="663"/>
      <c r="AS59" s="669"/>
      <c r="AT59" s="665"/>
      <c r="AU59" s="666"/>
      <c r="AV59" s="667"/>
      <c r="AW59" s="667"/>
      <c r="AX59" s="667"/>
      <c r="AY59" s="653"/>
      <c r="AZ59" s="668"/>
      <c r="BA59" s="655"/>
      <c r="BB59" s="656"/>
      <c r="BC59" s="656"/>
      <c r="BD59" s="656"/>
      <c r="BE59" s="656"/>
      <c r="BF59" s="656"/>
      <c r="BG59" s="656"/>
      <c r="BH59" s="657"/>
      <c r="BI59" s="630"/>
      <c r="BJ59" s="653"/>
      <c r="BK59" s="654"/>
      <c r="BL59" s="654"/>
      <c r="BM59" s="654"/>
      <c r="BN59" s="655"/>
      <c r="BO59" s="656"/>
      <c r="BP59" s="656"/>
      <c r="BQ59" s="656"/>
      <c r="BR59" s="656"/>
      <c r="BS59" s="656"/>
      <c r="BT59" s="656"/>
      <c r="BU59" s="657"/>
      <c r="BV59" s="658"/>
      <c r="BW59" s="659"/>
      <c r="BX59" s="656"/>
      <c r="BY59" s="656"/>
      <c r="BZ59" s="656"/>
      <c r="CA59" s="657"/>
      <c r="CB59" s="656"/>
      <c r="CC59" s="656"/>
      <c r="CD59" s="656"/>
      <c r="CE59" s="656"/>
      <c r="CF59" s="656"/>
      <c r="CG59" s="656"/>
      <c r="CH59" s="656"/>
      <c r="CI59" s="667"/>
      <c r="CJ59" s="667"/>
      <c r="CK59" s="671"/>
      <c r="CL59" s="679"/>
      <c r="CM59" s="679"/>
      <c r="CN59" s="680"/>
      <c r="CO59" s="656"/>
      <c r="CP59" s="656"/>
      <c r="CQ59" s="681"/>
      <c r="CR59" s="681"/>
      <c r="CS59" s="671"/>
      <c r="CT59" s="679"/>
      <c r="CU59" s="679"/>
      <c r="CV59" s="656"/>
      <c r="CW59" s="656"/>
      <c r="CX59" s="656"/>
      <c r="CY59" s="663"/>
      <c r="CZ59" s="669"/>
      <c r="DA59" s="665"/>
      <c r="DB59" s="666"/>
      <c r="DC59" s="667"/>
      <c r="DD59" s="667"/>
      <c r="DE59" s="667"/>
      <c r="DF59" s="653"/>
      <c r="DG59" s="668"/>
      <c r="DH59" s="655"/>
      <c r="DI59" s="656"/>
      <c r="DJ59" s="656"/>
      <c r="DK59" s="656"/>
      <c r="DL59" s="656"/>
      <c r="DM59" s="656"/>
      <c r="DN59" s="656"/>
      <c r="DO59" s="657"/>
      <c r="DP59" s="633"/>
      <c r="DQ59" s="634"/>
    </row>
    <row r="60" spans="1:121" ht="21" customHeight="1" x14ac:dyDescent="0.15">
      <c r="A60" s="652">
        <f t="shared" si="0"/>
        <v>54</v>
      </c>
      <c r="B60" s="626"/>
      <c r="C60" s="653"/>
      <c r="D60" s="654"/>
      <c r="E60" s="654"/>
      <c r="F60" s="668"/>
      <c r="G60" s="655"/>
      <c r="H60" s="656"/>
      <c r="I60" s="656"/>
      <c r="J60" s="656"/>
      <c r="K60" s="656"/>
      <c r="L60" s="656"/>
      <c r="M60" s="656"/>
      <c r="N60" s="657"/>
      <c r="O60" s="658"/>
      <c r="P60" s="659"/>
      <c r="Q60" s="656"/>
      <c r="R60" s="656"/>
      <c r="S60" s="656"/>
      <c r="T60" s="657"/>
      <c r="U60" s="656"/>
      <c r="V60" s="656"/>
      <c r="W60" s="656"/>
      <c r="X60" s="656"/>
      <c r="Y60" s="656"/>
      <c r="Z60" s="656"/>
      <c r="AA60" s="656"/>
      <c r="AB60" s="656"/>
      <c r="AC60" s="656"/>
      <c r="AD60" s="656"/>
      <c r="AE60" s="675"/>
      <c r="AF60" s="675"/>
      <c r="AG60" s="671"/>
      <c r="AH60" s="656"/>
      <c r="AI60" s="656"/>
      <c r="AJ60" s="656"/>
      <c r="AK60" s="656"/>
      <c r="AL60" s="656"/>
      <c r="AM60" s="675"/>
      <c r="AN60" s="675"/>
      <c r="AO60" s="656"/>
      <c r="AP60" s="656"/>
      <c r="AQ60" s="656"/>
      <c r="AR60" s="663"/>
      <c r="AS60" s="695"/>
      <c r="AT60" s="665"/>
      <c r="AU60" s="666"/>
      <c r="AV60" s="685"/>
      <c r="AW60" s="667"/>
      <c r="AX60" s="686"/>
      <c r="AY60" s="653"/>
      <c r="AZ60" s="668"/>
      <c r="BA60" s="655"/>
      <c r="BB60" s="656"/>
      <c r="BC60" s="656"/>
      <c r="BD60" s="656"/>
      <c r="BE60" s="656"/>
      <c r="BF60" s="656"/>
      <c r="BG60" s="656"/>
      <c r="BH60" s="657"/>
      <c r="BI60" s="630"/>
      <c r="BJ60" s="653"/>
      <c r="BK60" s="654"/>
      <c r="BL60" s="654"/>
      <c r="BM60" s="654"/>
      <c r="BN60" s="655"/>
      <c r="BO60" s="656"/>
      <c r="BP60" s="656"/>
      <c r="BQ60" s="656"/>
      <c r="BR60" s="656"/>
      <c r="BS60" s="656"/>
      <c r="BT60" s="656"/>
      <c r="BU60" s="657"/>
      <c r="BV60" s="658"/>
      <c r="BW60" s="659"/>
      <c r="BX60" s="656"/>
      <c r="BY60" s="656"/>
      <c r="BZ60" s="656"/>
      <c r="CA60" s="657"/>
      <c r="CB60" s="656"/>
      <c r="CC60" s="656"/>
      <c r="CD60" s="656"/>
      <c r="CE60" s="656"/>
      <c r="CF60" s="656"/>
      <c r="CG60" s="656"/>
      <c r="CH60" s="656"/>
      <c r="CI60" s="656"/>
      <c r="CJ60" s="656"/>
      <c r="CK60" s="656"/>
      <c r="CL60" s="675"/>
      <c r="CM60" s="675"/>
      <c r="CN60" s="671"/>
      <c r="CO60" s="656"/>
      <c r="CP60" s="656"/>
      <c r="CQ60" s="656"/>
      <c r="CR60" s="656"/>
      <c r="CS60" s="656"/>
      <c r="CT60" s="675"/>
      <c r="CU60" s="675"/>
      <c r="CV60" s="656"/>
      <c r="CW60" s="656"/>
      <c r="CX60" s="656"/>
      <c r="CY60" s="656"/>
      <c r="CZ60" s="669"/>
      <c r="DA60" s="665"/>
      <c r="DB60" s="666"/>
      <c r="DC60" s="667"/>
      <c r="DD60" s="667"/>
      <c r="DE60" s="667"/>
      <c r="DF60" s="653"/>
      <c r="DG60" s="668"/>
      <c r="DH60" s="655"/>
      <c r="DI60" s="656"/>
      <c r="DJ60" s="656"/>
      <c r="DK60" s="656"/>
      <c r="DL60" s="656"/>
      <c r="DM60" s="656"/>
      <c r="DN60" s="656"/>
      <c r="DO60" s="657"/>
      <c r="DP60" s="633"/>
      <c r="DQ60" s="634"/>
    </row>
    <row r="61" spans="1:121" ht="21" customHeight="1" x14ac:dyDescent="0.15">
      <c r="A61" s="652">
        <f t="shared" si="0"/>
        <v>55</v>
      </c>
      <c r="B61" s="626"/>
      <c r="C61" s="653"/>
      <c r="D61" s="654"/>
      <c r="E61" s="654"/>
      <c r="F61" s="668"/>
      <c r="G61" s="655"/>
      <c r="H61" s="656"/>
      <c r="I61" s="656"/>
      <c r="J61" s="656"/>
      <c r="K61" s="656"/>
      <c r="L61" s="656"/>
      <c r="M61" s="656"/>
      <c r="N61" s="657"/>
      <c r="O61" s="658"/>
      <c r="P61" s="659"/>
      <c r="Q61" s="679"/>
      <c r="R61" s="679"/>
      <c r="S61" s="679"/>
      <c r="T61" s="697"/>
      <c r="U61" s="656"/>
      <c r="V61" s="656"/>
      <c r="W61" s="656"/>
      <c r="X61" s="656"/>
      <c r="Y61" s="656"/>
      <c r="Z61" s="684"/>
      <c r="AA61" s="656"/>
      <c r="AB61" s="656"/>
      <c r="AC61" s="656"/>
      <c r="AD61" s="656"/>
      <c r="AE61" s="656"/>
      <c r="AF61" s="656"/>
      <c r="AG61" s="656"/>
      <c r="AH61" s="656"/>
      <c r="AI61" s="672"/>
      <c r="AJ61" s="672"/>
      <c r="AK61" s="663"/>
      <c r="AL61" s="672"/>
      <c r="AM61" s="656"/>
      <c r="AN61" s="656"/>
      <c r="AO61" s="656"/>
      <c r="AP61" s="656"/>
      <c r="AQ61" s="656"/>
      <c r="AR61" s="663"/>
      <c r="AS61" s="669"/>
      <c r="AT61" s="665"/>
      <c r="AU61" s="666"/>
      <c r="AV61" s="685"/>
      <c r="AW61" s="667"/>
      <c r="AX61" s="686"/>
      <c r="AY61" s="653"/>
      <c r="AZ61" s="668"/>
      <c r="BA61" s="655"/>
      <c r="BB61" s="656"/>
      <c r="BC61" s="656"/>
      <c r="BD61" s="656"/>
      <c r="BE61" s="656"/>
      <c r="BF61" s="656"/>
      <c r="BG61" s="656"/>
      <c r="BH61" s="657"/>
      <c r="BI61" s="630"/>
      <c r="BJ61" s="653"/>
      <c r="BK61" s="654"/>
      <c r="BL61" s="654"/>
      <c r="BM61" s="668"/>
      <c r="BN61" s="655"/>
      <c r="BO61" s="656"/>
      <c r="BP61" s="656"/>
      <c r="BQ61" s="656"/>
      <c r="BR61" s="656"/>
      <c r="BS61" s="656"/>
      <c r="BT61" s="656"/>
      <c r="BU61" s="657"/>
      <c r="BV61" s="682"/>
      <c r="BW61" s="683"/>
      <c r="BX61" s="661"/>
      <c r="BY61" s="661"/>
      <c r="BZ61" s="661"/>
      <c r="CA61" s="662"/>
      <c r="CB61" s="656"/>
      <c r="CC61" s="656"/>
      <c r="CD61" s="656"/>
      <c r="CE61" s="656"/>
      <c r="CF61" s="656"/>
      <c r="CG61" s="684"/>
      <c r="CH61" s="656"/>
      <c r="CI61" s="656"/>
      <c r="CJ61" s="656"/>
      <c r="CK61" s="656"/>
      <c r="CL61" s="656"/>
      <c r="CM61" s="656"/>
      <c r="CN61" s="656"/>
      <c r="CO61" s="656"/>
      <c r="CP61" s="672"/>
      <c r="CQ61" s="672"/>
      <c r="CR61" s="663"/>
      <c r="CS61" s="672"/>
      <c r="CT61" s="656"/>
      <c r="CU61" s="656"/>
      <c r="CV61" s="656"/>
      <c r="CW61" s="656"/>
      <c r="CX61" s="656"/>
      <c r="CY61" s="663"/>
      <c r="CZ61" s="669"/>
      <c r="DA61" s="665"/>
      <c r="DB61" s="666"/>
      <c r="DC61" s="685"/>
      <c r="DD61" s="667"/>
      <c r="DE61" s="686"/>
      <c r="DF61" s="653"/>
      <c r="DG61" s="668"/>
      <c r="DH61" s="655"/>
      <c r="DI61" s="656"/>
      <c r="DJ61" s="656"/>
      <c r="DK61" s="656"/>
      <c r="DL61" s="656"/>
      <c r="DM61" s="656"/>
      <c r="DN61" s="656"/>
      <c r="DO61" s="657"/>
      <c r="DP61" s="633"/>
      <c r="DQ61" s="634"/>
    </row>
    <row r="62" spans="1:121" ht="21.75" customHeight="1" x14ac:dyDescent="0.15">
      <c r="A62" s="652">
        <f t="shared" si="0"/>
        <v>56</v>
      </c>
      <c r="B62" s="626"/>
      <c r="C62" s="653"/>
      <c r="D62" s="654"/>
      <c r="E62" s="654"/>
      <c r="F62" s="668"/>
      <c r="G62" s="655"/>
      <c r="H62" s="656"/>
      <c r="I62" s="656"/>
      <c r="J62" s="656"/>
      <c r="K62" s="656"/>
      <c r="L62" s="656"/>
      <c r="M62" s="656"/>
      <c r="N62" s="657"/>
      <c r="O62" s="658"/>
      <c r="P62" s="659"/>
      <c r="Q62" s="656"/>
      <c r="R62" s="656"/>
      <c r="S62" s="656"/>
      <c r="T62" s="657"/>
      <c r="U62" s="656"/>
      <c r="V62" s="656"/>
      <c r="W62" s="656"/>
      <c r="X62" s="656"/>
      <c r="Y62" s="656"/>
      <c r="Z62" s="656"/>
      <c r="AA62" s="656"/>
      <c r="AB62" s="656"/>
      <c r="AC62" s="656"/>
      <c r="AD62" s="656"/>
      <c r="AE62" s="656"/>
      <c r="AF62" s="656"/>
      <c r="AG62" s="656"/>
      <c r="AH62" s="656"/>
      <c r="AI62" s="656"/>
      <c r="AJ62" s="687"/>
      <c r="AK62" s="687"/>
      <c r="AL62" s="687"/>
      <c r="AM62" s="687"/>
      <c r="AN62" s="687"/>
      <c r="AO62" s="656"/>
      <c r="AP62" s="656"/>
      <c r="AQ62" s="656"/>
      <c r="AR62" s="663"/>
      <c r="AS62" s="669"/>
      <c r="AT62" s="665"/>
      <c r="AU62" s="666"/>
      <c r="AV62" s="685"/>
      <c r="AW62" s="667"/>
      <c r="AX62" s="686"/>
      <c r="AY62" s="653"/>
      <c r="AZ62" s="668"/>
      <c r="BA62" s="655"/>
      <c r="BB62" s="656"/>
      <c r="BC62" s="656"/>
      <c r="BD62" s="656"/>
      <c r="BE62" s="656"/>
      <c r="BF62" s="656"/>
      <c r="BG62" s="656"/>
      <c r="BH62" s="657"/>
      <c r="BI62" s="630"/>
      <c r="BJ62" s="653"/>
      <c r="BK62" s="654"/>
      <c r="BL62" s="654"/>
      <c r="BM62" s="668"/>
      <c r="BN62" s="655"/>
      <c r="BO62" s="656"/>
      <c r="BP62" s="656"/>
      <c r="BQ62" s="656"/>
      <c r="BR62" s="656"/>
      <c r="BS62" s="656"/>
      <c r="BT62" s="656"/>
      <c r="BU62" s="657"/>
      <c r="BV62" s="658"/>
      <c r="BW62" s="659"/>
      <c r="BX62" s="656"/>
      <c r="BY62" s="656"/>
      <c r="BZ62" s="656"/>
      <c r="CA62" s="657"/>
      <c r="CB62" s="656"/>
      <c r="CC62" s="656"/>
      <c r="CD62" s="656"/>
      <c r="CE62" s="656"/>
      <c r="CF62" s="656"/>
      <c r="CG62" s="656"/>
      <c r="CH62" s="656"/>
      <c r="CI62" s="656"/>
      <c r="CJ62" s="656"/>
      <c r="CK62" s="656"/>
      <c r="CL62" s="656"/>
      <c r="CM62" s="656"/>
      <c r="CN62" s="656"/>
      <c r="CO62" s="656"/>
      <c r="CP62" s="656"/>
      <c r="CQ62" s="687"/>
      <c r="CR62" s="687"/>
      <c r="CS62" s="687"/>
      <c r="CT62" s="687"/>
      <c r="CU62" s="687"/>
      <c r="CV62" s="656"/>
      <c r="CW62" s="656"/>
      <c r="CX62" s="656"/>
      <c r="CY62" s="663"/>
      <c r="CZ62" s="669"/>
      <c r="DA62" s="665"/>
      <c r="DB62" s="666"/>
      <c r="DC62" s="685"/>
      <c r="DD62" s="667"/>
      <c r="DE62" s="686"/>
      <c r="DF62" s="653"/>
      <c r="DG62" s="668"/>
      <c r="DH62" s="655"/>
      <c r="DI62" s="656"/>
      <c r="DJ62" s="656"/>
      <c r="DK62" s="656"/>
      <c r="DL62" s="656"/>
      <c r="DM62" s="656"/>
      <c r="DN62" s="656"/>
      <c r="DO62" s="657"/>
      <c r="DP62" s="633"/>
      <c r="DQ62" s="634"/>
    </row>
    <row r="63" spans="1:121" ht="21.95" customHeight="1" x14ac:dyDescent="0.15">
      <c r="A63" s="652">
        <f t="shared" si="0"/>
        <v>57</v>
      </c>
      <c r="B63" s="626"/>
      <c r="C63" s="653"/>
      <c r="D63" s="654"/>
      <c r="E63" s="654"/>
      <c r="F63" s="668"/>
      <c r="G63" s="655"/>
      <c r="H63" s="656"/>
      <c r="I63" s="656"/>
      <c r="J63" s="656"/>
      <c r="K63" s="656"/>
      <c r="L63" s="656"/>
      <c r="M63" s="656"/>
      <c r="N63" s="657"/>
      <c r="O63" s="658"/>
      <c r="P63" s="659"/>
      <c r="Q63" s="656"/>
      <c r="R63" s="656"/>
      <c r="S63" s="656"/>
      <c r="T63" s="657"/>
      <c r="U63" s="656"/>
      <c r="V63" s="673"/>
      <c r="W63" s="673"/>
      <c r="X63" s="673"/>
      <c r="Y63" s="656"/>
      <c r="Z63" s="688"/>
      <c r="AA63" s="688"/>
      <c r="AB63" s="671"/>
      <c r="AC63" s="654"/>
      <c r="AD63" s="654"/>
      <c r="AE63" s="671"/>
      <c r="AF63" s="688"/>
      <c r="AG63" s="688"/>
      <c r="AH63" s="689"/>
      <c r="AI63" s="688"/>
      <c r="AJ63" s="688"/>
      <c r="AK63" s="671"/>
      <c r="AL63" s="671"/>
      <c r="AM63" s="671"/>
      <c r="AN63" s="671"/>
      <c r="AO63" s="656"/>
      <c r="AP63" s="656"/>
      <c r="AQ63" s="656"/>
      <c r="AR63" s="663"/>
      <c r="AS63" s="669"/>
      <c r="AT63" s="665"/>
      <c r="AU63" s="666"/>
      <c r="AV63" s="685"/>
      <c r="AW63" s="667"/>
      <c r="AX63" s="686"/>
      <c r="AY63" s="653"/>
      <c r="AZ63" s="668"/>
      <c r="BA63" s="655"/>
      <c r="BB63" s="656"/>
      <c r="BC63" s="656"/>
      <c r="BD63" s="656"/>
      <c r="BE63" s="656"/>
      <c r="BF63" s="656"/>
      <c r="BG63" s="656"/>
      <c r="BH63" s="657"/>
      <c r="BI63" s="630"/>
      <c r="BJ63" s="653"/>
      <c r="BK63" s="654"/>
      <c r="BL63" s="654"/>
      <c r="BM63" s="668"/>
      <c r="BN63" s="655"/>
      <c r="BO63" s="656"/>
      <c r="BP63" s="656"/>
      <c r="BQ63" s="656"/>
      <c r="BR63" s="656"/>
      <c r="BS63" s="656"/>
      <c r="BT63" s="656"/>
      <c r="BU63" s="657"/>
      <c r="BV63" s="658"/>
      <c r="BW63" s="659"/>
      <c r="BX63" s="656"/>
      <c r="BY63" s="656"/>
      <c r="BZ63" s="656"/>
      <c r="CA63" s="657"/>
      <c r="CB63" s="656"/>
      <c r="CC63" s="673"/>
      <c r="CD63" s="673"/>
      <c r="CE63" s="673"/>
      <c r="CF63" s="656"/>
      <c r="CG63" s="688"/>
      <c r="CH63" s="688"/>
      <c r="CI63" s="671"/>
      <c r="CJ63" s="654"/>
      <c r="CK63" s="654"/>
      <c r="CL63" s="671"/>
      <c r="CM63" s="688"/>
      <c r="CN63" s="688"/>
      <c r="CO63" s="689"/>
      <c r="CP63" s="688"/>
      <c r="CQ63" s="688"/>
      <c r="CR63" s="671"/>
      <c r="CS63" s="671"/>
      <c r="CT63" s="671"/>
      <c r="CU63" s="671"/>
      <c r="CV63" s="656"/>
      <c r="CW63" s="656"/>
      <c r="CX63" s="656"/>
      <c r="CY63" s="663"/>
      <c r="CZ63" s="669"/>
      <c r="DA63" s="665"/>
      <c r="DB63" s="666"/>
      <c r="DC63" s="685"/>
      <c r="DD63" s="667"/>
      <c r="DE63" s="686"/>
      <c r="DF63" s="653"/>
      <c r="DG63" s="668"/>
      <c r="DH63" s="655"/>
      <c r="DI63" s="656"/>
      <c r="DJ63" s="656"/>
      <c r="DK63" s="656"/>
      <c r="DL63" s="656"/>
      <c r="DM63" s="656"/>
      <c r="DN63" s="656"/>
      <c r="DO63" s="657"/>
      <c r="DP63" s="633"/>
      <c r="DQ63" s="634"/>
    </row>
    <row r="64" spans="1:121" ht="21.95" customHeight="1" x14ac:dyDescent="0.15">
      <c r="A64" s="652">
        <f t="shared" si="0"/>
        <v>58</v>
      </c>
      <c r="B64" s="626"/>
      <c r="C64" s="653"/>
      <c r="D64" s="654"/>
      <c r="E64" s="654"/>
      <c r="F64" s="654"/>
      <c r="G64" s="655"/>
      <c r="H64" s="656"/>
      <c r="I64" s="656"/>
      <c r="J64" s="656"/>
      <c r="K64" s="656"/>
      <c r="L64" s="656"/>
      <c r="M64" s="656"/>
      <c r="N64" s="657"/>
      <c r="O64" s="658"/>
      <c r="P64" s="659"/>
      <c r="Q64" s="656"/>
      <c r="R64" s="656"/>
      <c r="S64" s="656"/>
      <c r="T64" s="657"/>
      <c r="U64" s="656"/>
      <c r="V64" s="656"/>
      <c r="W64" s="656"/>
      <c r="X64" s="656"/>
      <c r="Y64" s="656"/>
      <c r="Z64" s="670"/>
      <c r="AA64" s="670"/>
      <c r="AB64" s="671"/>
      <c r="AC64" s="656"/>
      <c r="AD64" s="656"/>
      <c r="AE64" s="656"/>
      <c r="AF64" s="656"/>
      <c r="AG64" s="656"/>
      <c r="AH64" s="656"/>
      <c r="AI64" s="656"/>
      <c r="AJ64" s="670"/>
      <c r="AK64" s="670"/>
      <c r="AL64" s="671"/>
      <c r="AM64" s="677"/>
      <c r="AN64" s="677"/>
      <c r="AO64" s="678"/>
      <c r="AP64" s="656"/>
      <c r="AQ64" s="656"/>
      <c r="AR64" s="663"/>
      <c r="AS64" s="669"/>
      <c r="AT64" s="665"/>
      <c r="AU64" s="666"/>
      <c r="AV64" s="667"/>
      <c r="AW64" s="667"/>
      <c r="AX64" s="667"/>
      <c r="AY64" s="653"/>
      <c r="AZ64" s="668"/>
      <c r="BA64" s="655"/>
      <c r="BB64" s="656"/>
      <c r="BC64" s="656"/>
      <c r="BD64" s="656"/>
      <c r="BE64" s="656"/>
      <c r="BF64" s="656"/>
      <c r="BG64" s="656"/>
      <c r="BH64" s="657"/>
      <c r="BI64" s="630"/>
      <c r="BJ64" s="653"/>
      <c r="BK64" s="654"/>
      <c r="BL64" s="654"/>
      <c r="BM64" s="654"/>
      <c r="BN64" s="655"/>
      <c r="BO64" s="656"/>
      <c r="BP64" s="656"/>
      <c r="BQ64" s="656"/>
      <c r="BR64" s="656"/>
      <c r="BS64" s="656"/>
      <c r="BT64" s="656"/>
      <c r="BU64" s="657"/>
      <c r="BV64" s="658"/>
      <c r="BW64" s="659"/>
      <c r="BX64" s="656"/>
      <c r="BY64" s="656"/>
      <c r="BZ64" s="656"/>
      <c r="CA64" s="657"/>
      <c r="CB64" s="656"/>
      <c r="CC64" s="656"/>
      <c r="CD64" s="656"/>
      <c r="CE64" s="656"/>
      <c r="CF64" s="656"/>
      <c r="CG64" s="670"/>
      <c r="CH64" s="670"/>
      <c r="CI64" s="671"/>
      <c r="CJ64" s="656"/>
      <c r="CK64" s="656"/>
      <c r="CL64" s="656"/>
      <c r="CM64" s="656"/>
      <c r="CN64" s="656"/>
      <c r="CO64" s="656"/>
      <c r="CP64" s="656"/>
      <c r="CQ64" s="670"/>
      <c r="CR64" s="670"/>
      <c r="CS64" s="671"/>
      <c r="CT64" s="677"/>
      <c r="CU64" s="677"/>
      <c r="CV64" s="678"/>
      <c r="CW64" s="656"/>
      <c r="CX64" s="656"/>
      <c r="CY64" s="663"/>
      <c r="CZ64" s="669"/>
      <c r="DA64" s="665"/>
      <c r="DB64" s="666"/>
      <c r="DC64" s="667"/>
      <c r="DD64" s="667"/>
      <c r="DE64" s="667"/>
      <c r="DF64" s="653"/>
      <c r="DG64" s="668"/>
      <c r="DH64" s="655"/>
      <c r="DI64" s="656"/>
      <c r="DJ64" s="656"/>
      <c r="DK64" s="656"/>
      <c r="DL64" s="656"/>
      <c r="DM64" s="656"/>
      <c r="DN64" s="656"/>
      <c r="DO64" s="657"/>
      <c r="DP64" s="633"/>
      <c r="DQ64" s="634"/>
    </row>
    <row r="65" spans="1:121" ht="21.95" customHeight="1" x14ac:dyDescent="0.15">
      <c r="A65" s="652">
        <f t="shared" si="0"/>
        <v>59</v>
      </c>
      <c r="B65" s="626"/>
      <c r="C65" s="653"/>
      <c r="D65" s="654"/>
      <c r="E65" s="654"/>
      <c r="F65" s="654"/>
      <c r="G65" s="655"/>
      <c r="H65" s="656"/>
      <c r="I65" s="656"/>
      <c r="J65" s="656"/>
      <c r="K65" s="656"/>
      <c r="L65" s="656"/>
      <c r="M65" s="656"/>
      <c r="N65" s="657"/>
      <c r="O65" s="658"/>
      <c r="P65" s="659"/>
      <c r="Q65" s="656"/>
      <c r="R65" s="656"/>
      <c r="S65" s="656"/>
      <c r="T65" s="657"/>
      <c r="U65" s="656"/>
      <c r="V65" s="656"/>
      <c r="W65" s="656"/>
      <c r="X65" s="656"/>
      <c r="Y65" s="656"/>
      <c r="Z65" s="690"/>
      <c r="AA65" s="690"/>
      <c r="AB65" s="690"/>
      <c r="AC65" s="690"/>
      <c r="AD65" s="690"/>
      <c r="AE65" s="656"/>
      <c r="AF65" s="687"/>
      <c r="AG65" s="687"/>
      <c r="AH65" s="687"/>
      <c r="AI65" s="687"/>
      <c r="AJ65" s="656"/>
      <c r="AK65" s="656"/>
      <c r="AL65" s="656"/>
      <c r="AM65" s="656"/>
      <c r="AN65" s="656"/>
      <c r="AO65" s="656"/>
      <c r="AP65" s="656"/>
      <c r="AQ65" s="656"/>
      <c r="AR65" s="656"/>
      <c r="AS65" s="669"/>
      <c r="AT65" s="665"/>
      <c r="AU65" s="666"/>
      <c r="AV65" s="691"/>
      <c r="AW65" s="691"/>
      <c r="AX65" s="691"/>
      <c r="AY65" s="653"/>
      <c r="AZ65" s="668"/>
      <c r="BA65" s="655"/>
      <c r="BB65" s="656"/>
      <c r="BC65" s="656"/>
      <c r="BD65" s="656"/>
      <c r="BE65" s="656"/>
      <c r="BF65" s="656"/>
      <c r="BG65" s="656"/>
      <c r="BH65" s="657"/>
      <c r="BI65" s="630"/>
      <c r="BJ65" s="653"/>
      <c r="BK65" s="654"/>
      <c r="BL65" s="654"/>
      <c r="BM65" s="668"/>
      <c r="BN65" s="655"/>
      <c r="BO65" s="656"/>
      <c r="BP65" s="656"/>
      <c r="BQ65" s="656"/>
      <c r="BR65" s="656"/>
      <c r="BS65" s="656"/>
      <c r="BT65" s="656"/>
      <c r="BU65" s="657"/>
      <c r="BV65" s="658"/>
      <c r="BW65" s="659"/>
      <c r="BX65" s="656"/>
      <c r="BY65" s="656"/>
      <c r="BZ65" s="656"/>
      <c r="CA65" s="657"/>
      <c r="CB65" s="656"/>
      <c r="CC65" s="656"/>
      <c r="CD65" s="656"/>
      <c r="CE65" s="656"/>
      <c r="CF65" s="656"/>
      <c r="CG65" s="690"/>
      <c r="CH65" s="690"/>
      <c r="CI65" s="690"/>
      <c r="CJ65" s="690"/>
      <c r="CK65" s="690"/>
      <c r="CL65" s="656"/>
      <c r="CM65" s="687"/>
      <c r="CN65" s="687"/>
      <c r="CO65" s="687"/>
      <c r="CP65" s="687"/>
      <c r="CQ65" s="656"/>
      <c r="CR65" s="656"/>
      <c r="CS65" s="656"/>
      <c r="CT65" s="656"/>
      <c r="CU65" s="656"/>
      <c r="CV65" s="656"/>
      <c r="CW65" s="656"/>
      <c r="CX65" s="656"/>
      <c r="CY65" s="656"/>
      <c r="CZ65" s="669"/>
      <c r="DA65" s="665"/>
      <c r="DB65" s="666"/>
      <c r="DC65" s="681"/>
      <c r="DD65" s="681"/>
      <c r="DE65" s="681"/>
      <c r="DF65" s="653"/>
      <c r="DG65" s="668"/>
      <c r="DH65" s="692"/>
      <c r="DI65" s="656"/>
      <c r="DJ65" s="656"/>
      <c r="DK65" s="656"/>
      <c r="DL65" s="656"/>
      <c r="DM65" s="656"/>
      <c r="DN65" s="656"/>
      <c r="DO65" s="657"/>
      <c r="DP65" s="633"/>
      <c r="DQ65" s="634"/>
    </row>
    <row r="66" spans="1:121" ht="21.95" customHeight="1" x14ac:dyDescent="0.15">
      <c r="A66" s="652">
        <f t="shared" si="0"/>
        <v>60</v>
      </c>
      <c r="B66" s="626"/>
      <c r="C66" s="653"/>
      <c r="D66" s="654"/>
      <c r="E66" s="654"/>
      <c r="F66" s="654"/>
      <c r="G66" s="655"/>
      <c r="H66" s="656"/>
      <c r="I66" s="656"/>
      <c r="J66" s="656"/>
      <c r="K66" s="656"/>
      <c r="L66" s="656"/>
      <c r="M66" s="656"/>
      <c r="N66" s="657"/>
      <c r="O66" s="658"/>
      <c r="P66" s="659"/>
      <c r="Q66" s="656"/>
      <c r="R66" s="656"/>
      <c r="S66" s="656"/>
      <c r="T66" s="657"/>
      <c r="U66" s="656"/>
      <c r="V66" s="656"/>
      <c r="W66" s="656"/>
      <c r="X66" s="656"/>
      <c r="Y66" s="656"/>
      <c r="Z66" s="670"/>
      <c r="AA66" s="670"/>
      <c r="AB66" s="671"/>
      <c r="AC66" s="656"/>
      <c r="AD66" s="656"/>
      <c r="AE66" s="656"/>
      <c r="AF66" s="673"/>
      <c r="AG66" s="673"/>
      <c r="AH66" s="673"/>
      <c r="AI66" s="656"/>
      <c r="AJ66" s="670"/>
      <c r="AK66" s="670"/>
      <c r="AL66" s="671"/>
      <c r="AM66" s="656"/>
      <c r="AN66" s="656"/>
      <c r="AO66" s="656"/>
      <c r="AP66" s="656"/>
      <c r="AQ66" s="656"/>
      <c r="AR66" s="656"/>
      <c r="AS66" s="669"/>
      <c r="AT66" s="665"/>
      <c r="AU66" s="666"/>
      <c r="AV66" s="685"/>
      <c r="AW66" s="667"/>
      <c r="AX66" s="686"/>
      <c r="AY66" s="653"/>
      <c r="AZ66" s="668"/>
      <c r="BA66" s="655"/>
      <c r="BB66" s="656"/>
      <c r="BC66" s="656"/>
      <c r="BD66" s="656"/>
      <c r="BE66" s="656"/>
      <c r="BF66" s="656"/>
      <c r="BG66" s="656"/>
      <c r="BH66" s="657"/>
      <c r="BI66" s="630"/>
      <c r="BJ66" s="653"/>
      <c r="BK66" s="654"/>
      <c r="BL66" s="654"/>
      <c r="BM66" s="654"/>
      <c r="BN66" s="655"/>
      <c r="BO66" s="656"/>
      <c r="BP66" s="656"/>
      <c r="BQ66" s="656"/>
      <c r="BR66" s="656"/>
      <c r="BS66" s="656"/>
      <c r="BT66" s="656"/>
      <c r="BU66" s="657"/>
      <c r="BV66" s="658"/>
      <c r="BW66" s="659"/>
      <c r="BX66" s="656"/>
      <c r="BY66" s="656"/>
      <c r="BZ66" s="656"/>
      <c r="CA66" s="657"/>
      <c r="CB66" s="656"/>
      <c r="CC66" s="656"/>
      <c r="CD66" s="656"/>
      <c r="CE66" s="656"/>
      <c r="CF66" s="656"/>
      <c r="CG66" s="670"/>
      <c r="CH66" s="670"/>
      <c r="CI66" s="671"/>
      <c r="CJ66" s="656"/>
      <c r="CK66" s="656"/>
      <c r="CL66" s="656"/>
      <c r="CM66" s="656"/>
      <c r="CN66" s="656"/>
      <c r="CO66" s="656"/>
      <c r="CP66" s="656"/>
      <c r="CQ66" s="670"/>
      <c r="CR66" s="670"/>
      <c r="CS66" s="671"/>
      <c r="CT66" s="677"/>
      <c r="CU66" s="677"/>
      <c r="CV66" s="678"/>
      <c r="CW66" s="656"/>
      <c r="CX66" s="656"/>
      <c r="CY66" s="663"/>
      <c r="CZ66" s="669"/>
      <c r="DA66" s="665"/>
      <c r="DB66" s="666"/>
      <c r="DC66" s="667"/>
      <c r="DD66" s="667"/>
      <c r="DE66" s="667"/>
      <c r="DF66" s="653"/>
      <c r="DG66" s="668"/>
      <c r="DH66" s="655"/>
      <c r="DI66" s="656"/>
      <c r="DJ66" s="656"/>
      <c r="DK66" s="656"/>
      <c r="DL66" s="656"/>
      <c r="DM66" s="656"/>
      <c r="DN66" s="656"/>
      <c r="DO66" s="657"/>
      <c r="DP66" s="633"/>
      <c r="DQ66" s="634"/>
    </row>
    <row r="67" spans="1:121" ht="21.95" customHeight="1" x14ac:dyDescent="0.15">
      <c r="A67" s="652">
        <f t="shared" si="0"/>
        <v>61</v>
      </c>
      <c r="B67" s="626"/>
      <c r="C67" s="653"/>
      <c r="D67" s="654"/>
      <c r="E67" s="654"/>
      <c r="F67" s="668"/>
      <c r="G67" s="655"/>
      <c r="H67" s="656"/>
      <c r="I67" s="656"/>
      <c r="J67" s="656"/>
      <c r="K67" s="656"/>
      <c r="L67" s="656"/>
      <c r="M67" s="656"/>
      <c r="N67" s="657"/>
      <c r="O67" s="682"/>
      <c r="P67" s="683"/>
      <c r="Q67" s="661"/>
      <c r="R67" s="661"/>
      <c r="S67" s="661"/>
      <c r="T67" s="662"/>
      <c r="U67" s="656"/>
      <c r="V67" s="656"/>
      <c r="W67" s="656"/>
      <c r="X67" s="656"/>
      <c r="Y67" s="656"/>
      <c r="Z67" s="670"/>
      <c r="AA67" s="670"/>
      <c r="AB67" s="671"/>
      <c r="AC67" s="654"/>
      <c r="AD67" s="654"/>
      <c r="AE67" s="671"/>
      <c r="AF67" s="688"/>
      <c r="AG67" s="688"/>
      <c r="AH67" s="689"/>
      <c r="AI67" s="688"/>
      <c r="AJ67" s="688"/>
      <c r="AK67" s="671"/>
      <c r="AL67" s="656"/>
      <c r="AM67" s="656"/>
      <c r="AN67" s="656"/>
      <c r="AO67" s="656"/>
      <c r="AP67" s="656"/>
      <c r="AQ67" s="656"/>
      <c r="AR67" s="656"/>
      <c r="AS67" s="669"/>
      <c r="AT67" s="665"/>
      <c r="AU67" s="666"/>
      <c r="AV67" s="667"/>
      <c r="AW67" s="667"/>
      <c r="AX67" s="667"/>
      <c r="AY67" s="653"/>
      <c r="AZ67" s="668"/>
      <c r="BA67" s="655"/>
      <c r="BB67" s="656"/>
      <c r="BC67" s="656"/>
      <c r="BD67" s="656"/>
      <c r="BE67" s="656"/>
      <c r="BF67" s="656"/>
      <c r="BG67" s="656"/>
      <c r="BH67" s="657"/>
      <c r="BI67" s="630"/>
      <c r="BJ67" s="653"/>
      <c r="BK67" s="654"/>
      <c r="BL67" s="654"/>
      <c r="BM67" s="668"/>
      <c r="BN67" s="655"/>
      <c r="BO67" s="656"/>
      <c r="BP67" s="656"/>
      <c r="BQ67" s="656"/>
      <c r="BR67" s="656"/>
      <c r="BS67" s="656"/>
      <c r="BT67" s="656"/>
      <c r="BU67" s="657"/>
      <c r="BV67" s="682"/>
      <c r="BW67" s="683"/>
      <c r="BX67" s="661"/>
      <c r="BY67" s="661"/>
      <c r="BZ67" s="661"/>
      <c r="CA67" s="662"/>
      <c r="CB67" s="656"/>
      <c r="CC67" s="656"/>
      <c r="CD67" s="656"/>
      <c r="CE67" s="656"/>
      <c r="CF67" s="656"/>
      <c r="CG67" s="670"/>
      <c r="CH67" s="670"/>
      <c r="CI67" s="671"/>
      <c r="CJ67" s="696"/>
      <c r="CK67" s="671"/>
      <c r="CL67" s="679"/>
      <c r="CM67" s="679"/>
      <c r="CN67" s="680"/>
      <c r="CO67" s="656"/>
      <c r="CP67" s="656"/>
      <c r="CQ67" s="681"/>
      <c r="CR67" s="681"/>
      <c r="CS67" s="671"/>
      <c r="CT67" s="679"/>
      <c r="CU67" s="679"/>
      <c r="CV67" s="656"/>
      <c r="CW67" s="656"/>
      <c r="CX67" s="656"/>
      <c r="CY67" s="663"/>
      <c r="CZ67" s="669"/>
      <c r="DA67" s="665"/>
      <c r="DB67" s="666"/>
      <c r="DC67" s="667"/>
      <c r="DD67" s="667"/>
      <c r="DE67" s="667"/>
      <c r="DF67" s="653"/>
      <c r="DG67" s="668"/>
      <c r="DH67" s="655"/>
      <c r="DI67" s="656"/>
      <c r="DJ67" s="656"/>
      <c r="DK67" s="656"/>
      <c r="DL67" s="656"/>
      <c r="DM67" s="656"/>
      <c r="DN67" s="656"/>
      <c r="DO67" s="657"/>
      <c r="DP67" s="633"/>
      <c r="DQ67" s="634"/>
    </row>
    <row r="68" spans="1:121" ht="21.95" customHeight="1" x14ac:dyDescent="0.15">
      <c r="A68" s="652">
        <f t="shared" si="0"/>
        <v>62</v>
      </c>
      <c r="B68" s="626"/>
      <c r="C68" s="653"/>
      <c r="D68" s="654"/>
      <c r="E68" s="654"/>
      <c r="F68" s="668"/>
      <c r="G68" s="655"/>
      <c r="H68" s="656"/>
      <c r="I68" s="656"/>
      <c r="J68" s="656"/>
      <c r="K68" s="656"/>
      <c r="L68" s="656"/>
      <c r="M68" s="656"/>
      <c r="N68" s="657"/>
      <c r="O68" s="658"/>
      <c r="P68" s="659"/>
      <c r="Q68" s="656"/>
      <c r="R68" s="656"/>
      <c r="S68" s="656"/>
      <c r="T68" s="657"/>
      <c r="U68" s="661"/>
      <c r="V68" s="693"/>
      <c r="W68" s="693"/>
      <c r="X68" s="694"/>
      <c r="Y68" s="656"/>
      <c r="Z68" s="670"/>
      <c r="AA68" s="670"/>
      <c r="AB68" s="671"/>
      <c r="AC68" s="656"/>
      <c r="AD68" s="656"/>
      <c r="AE68" s="656"/>
      <c r="AF68" s="673"/>
      <c r="AG68" s="673"/>
      <c r="AH68" s="673"/>
      <c r="AI68" s="656"/>
      <c r="AJ68" s="670"/>
      <c r="AK68" s="670"/>
      <c r="AL68" s="671"/>
      <c r="AM68" s="656"/>
      <c r="AN68" s="656"/>
      <c r="AO68" s="656"/>
      <c r="AP68" s="656"/>
      <c r="AQ68" s="656"/>
      <c r="AR68" s="663"/>
      <c r="AS68" s="669"/>
      <c r="AT68" s="665"/>
      <c r="AU68" s="666"/>
      <c r="AV68" s="685"/>
      <c r="AW68" s="667"/>
      <c r="AX68" s="686"/>
      <c r="AY68" s="653"/>
      <c r="AZ68" s="668"/>
      <c r="BA68" s="655"/>
      <c r="BB68" s="656"/>
      <c r="BC68" s="656"/>
      <c r="BD68" s="656"/>
      <c r="BE68" s="656"/>
      <c r="BF68" s="656"/>
      <c r="BG68" s="656"/>
      <c r="BH68" s="657"/>
      <c r="BI68" s="630"/>
      <c r="BJ68" s="653"/>
      <c r="BK68" s="654"/>
      <c r="BL68" s="654"/>
      <c r="BM68" s="668"/>
      <c r="BN68" s="655"/>
      <c r="BO68" s="656"/>
      <c r="BP68" s="656"/>
      <c r="BQ68" s="656"/>
      <c r="BR68" s="656"/>
      <c r="BS68" s="656"/>
      <c r="BT68" s="656"/>
      <c r="BU68" s="657"/>
      <c r="BV68" s="658"/>
      <c r="BW68" s="659"/>
      <c r="BX68" s="656"/>
      <c r="BY68" s="656"/>
      <c r="BZ68" s="656"/>
      <c r="CA68" s="657"/>
      <c r="CB68" s="661"/>
      <c r="CC68" s="693"/>
      <c r="CD68" s="693"/>
      <c r="CE68" s="694"/>
      <c r="CF68" s="656"/>
      <c r="CG68" s="670"/>
      <c r="CH68" s="670"/>
      <c r="CI68" s="671"/>
      <c r="CJ68" s="656"/>
      <c r="CK68" s="656"/>
      <c r="CL68" s="656"/>
      <c r="CM68" s="673"/>
      <c r="CN68" s="673"/>
      <c r="CO68" s="673"/>
      <c r="CP68" s="656"/>
      <c r="CQ68" s="670"/>
      <c r="CR68" s="670"/>
      <c r="CS68" s="671"/>
      <c r="CT68" s="656"/>
      <c r="CU68" s="656"/>
      <c r="CV68" s="656"/>
      <c r="CW68" s="656"/>
      <c r="CX68" s="656"/>
      <c r="CY68" s="656"/>
      <c r="CZ68" s="669"/>
      <c r="DA68" s="665"/>
      <c r="DB68" s="666"/>
      <c r="DC68" s="667"/>
      <c r="DD68" s="667"/>
      <c r="DE68" s="667"/>
      <c r="DF68" s="653"/>
      <c r="DG68" s="668"/>
      <c r="DH68" s="655"/>
      <c r="DI68" s="656"/>
      <c r="DJ68" s="656"/>
      <c r="DK68" s="656"/>
      <c r="DL68" s="656"/>
      <c r="DM68" s="656"/>
      <c r="DN68" s="656"/>
      <c r="DO68" s="657"/>
      <c r="DP68" s="633"/>
      <c r="DQ68" s="634"/>
    </row>
    <row r="69" spans="1:121" ht="21" customHeight="1" x14ac:dyDescent="0.15">
      <c r="A69" s="652">
        <f t="shared" si="0"/>
        <v>63</v>
      </c>
      <c r="B69" s="626"/>
      <c r="C69" s="653"/>
      <c r="D69" s="654"/>
      <c r="E69" s="654"/>
      <c r="F69" s="668"/>
      <c r="G69" s="655"/>
      <c r="H69" s="656"/>
      <c r="I69" s="656"/>
      <c r="J69" s="656"/>
      <c r="K69" s="656"/>
      <c r="L69" s="656"/>
      <c r="M69" s="656"/>
      <c r="N69" s="657"/>
      <c r="O69" s="658"/>
      <c r="P69" s="659"/>
      <c r="Q69" s="656"/>
      <c r="R69" s="656"/>
      <c r="S69" s="656"/>
      <c r="T69" s="657"/>
      <c r="U69" s="656"/>
      <c r="V69" s="673"/>
      <c r="W69" s="673"/>
      <c r="X69" s="673"/>
      <c r="Y69" s="656"/>
      <c r="Z69" s="688"/>
      <c r="AA69" s="688"/>
      <c r="AB69" s="671"/>
      <c r="AC69" s="654"/>
      <c r="AD69" s="654"/>
      <c r="AE69" s="671"/>
      <c r="AF69" s="688"/>
      <c r="AG69" s="688"/>
      <c r="AH69" s="689"/>
      <c r="AI69" s="688"/>
      <c r="AJ69" s="688"/>
      <c r="AK69" s="671"/>
      <c r="AL69" s="656"/>
      <c r="AM69" s="656"/>
      <c r="AN69" s="656"/>
      <c r="AO69" s="656"/>
      <c r="AP69" s="656"/>
      <c r="AQ69" s="656"/>
      <c r="AR69" s="656"/>
      <c r="AS69" s="669"/>
      <c r="AT69" s="665"/>
      <c r="AU69" s="666"/>
      <c r="AV69" s="681"/>
      <c r="AW69" s="681"/>
      <c r="AX69" s="681"/>
      <c r="AY69" s="653"/>
      <c r="AZ69" s="668"/>
      <c r="BA69" s="692"/>
      <c r="BB69" s="656"/>
      <c r="BC69" s="656"/>
      <c r="BD69" s="656"/>
      <c r="BE69" s="656"/>
      <c r="BF69" s="656"/>
      <c r="BG69" s="656"/>
      <c r="BH69" s="657"/>
      <c r="BI69" s="630"/>
      <c r="BJ69" s="653"/>
      <c r="BK69" s="654"/>
      <c r="BL69" s="654"/>
      <c r="BM69" s="668"/>
      <c r="BN69" s="655"/>
      <c r="BO69" s="656"/>
      <c r="BP69" s="656"/>
      <c r="BQ69" s="656"/>
      <c r="BR69" s="656"/>
      <c r="BS69" s="656"/>
      <c r="BT69" s="656"/>
      <c r="BU69" s="657"/>
      <c r="BV69" s="658"/>
      <c r="BW69" s="659"/>
      <c r="BX69" s="656"/>
      <c r="BY69" s="656"/>
      <c r="BZ69" s="656"/>
      <c r="CA69" s="657"/>
      <c r="CB69" s="656"/>
      <c r="CC69" s="673"/>
      <c r="CD69" s="673"/>
      <c r="CE69" s="673"/>
      <c r="CF69" s="656"/>
      <c r="CG69" s="688"/>
      <c r="CH69" s="688"/>
      <c r="CI69" s="671"/>
      <c r="CJ69" s="654"/>
      <c r="CK69" s="654"/>
      <c r="CL69" s="671"/>
      <c r="CM69" s="688"/>
      <c r="CN69" s="688"/>
      <c r="CO69" s="689"/>
      <c r="CP69" s="688"/>
      <c r="CQ69" s="688"/>
      <c r="CR69" s="671"/>
      <c r="CS69" s="656"/>
      <c r="CT69" s="656"/>
      <c r="CU69" s="656"/>
      <c r="CV69" s="656"/>
      <c r="CW69" s="656"/>
      <c r="CX69" s="656"/>
      <c r="CY69" s="663"/>
      <c r="CZ69" s="669"/>
      <c r="DA69" s="665"/>
      <c r="DB69" s="666"/>
      <c r="DC69" s="685"/>
      <c r="DD69" s="667"/>
      <c r="DE69" s="686"/>
      <c r="DF69" s="653"/>
      <c r="DG69" s="668"/>
      <c r="DH69" s="655"/>
      <c r="DI69" s="656"/>
      <c r="DJ69" s="656"/>
      <c r="DK69" s="656"/>
      <c r="DL69" s="656"/>
      <c r="DM69" s="656"/>
      <c r="DN69" s="656"/>
      <c r="DO69" s="657"/>
      <c r="DP69" s="633"/>
      <c r="DQ69" s="634"/>
    </row>
    <row r="70" spans="1:121" ht="21" customHeight="1" x14ac:dyDescent="0.15">
      <c r="A70" s="652">
        <f t="shared" si="0"/>
        <v>64</v>
      </c>
      <c r="B70" s="626"/>
      <c r="C70" s="653"/>
      <c r="D70" s="654"/>
      <c r="E70" s="654"/>
      <c r="F70" s="654"/>
      <c r="G70" s="655"/>
      <c r="H70" s="656"/>
      <c r="I70" s="656"/>
      <c r="J70" s="656"/>
      <c r="K70" s="656"/>
      <c r="L70" s="656"/>
      <c r="M70" s="656"/>
      <c r="N70" s="657"/>
      <c r="O70" s="658"/>
      <c r="P70" s="659"/>
      <c r="Q70" s="656"/>
      <c r="R70" s="656"/>
      <c r="S70" s="656"/>
      <c r="T70" s="657"/>
      <c r="U70" s="656"/>
      <c r="V70" s="656"/>
      <c r="W70" s="656"/>
      <c r="X70" s="656"/>
      <c r="Y70" s="656"/>
      <c r="Z70" s="656"/>
      <c r="AA70" s="656"/>
      <c r="AB70" s="656"/>
      <c r="AC70" s="656"/>
      <c r="AD70" s="656"/>
      <c r="AE70" s="656"/>
      <c r="AF70" s="656"/>
      <c r="AG70" s="680"/>
      <c r="AH70" s="656"/>
      <c r="AI70" s="656"/>
      <c r="AJ70" s="656"/>
      <c r="AK70" s="656"/>
      <c r="AL70" s="656"/>
      <c r="AM70" s="656"/>
      <c r="AN70" s="656"/>
      <c r="AO70" s="656"/>
      <c r="AP70" s="656"/>
      <c r="AQ70" s="656"/>
      <c r="AR70" s="656"/>
      <c r="AS70" s="669"/>
      <c r="AT70" s="665"/>
      <c r="AU70" s="666"/>
      <c r="AV70" s="667"/>
      <c r="AW70" s="667"/>
      <c r="AX70" s="667"/>
      <c r="AY70" s="653"/>
      <c r="AZ70" s="668"/>
      <c r="BA70" s="655"/>
      <c r="BB70" s="656"/>
      <c r="BC70" s="656"/>
      <c r="BD70" s="656"/>
      <c r="BE70" s="656"/>
      <c r="BF70" s="656"/>
      <c r="BG70" s="656"/>
      <c r="BH70" s="657"/>
      <c r="BI70" s="630"/>
      <c r="BJ70" s="653"/>
      <c r="BK70" s="654"/>
      <c r="BL70" s="654"/>
      <c r="BM70" s="654"/>
      <c r="BN70" s="655"/>
      <c r="BO70" s="656"/>
      <c r="BP70" s="656"/>
      <c r="BQ70" s="656"/>
      <c r="BR70" s="656"/>
      <c r="BS70" s="656"/>
      <c r="BT70" s="656"/>
      <c r="BU70" s="657"/>
      <c r="BV70" s="658"/>
      <c r="BW70" s="659"/>
      <c r="BX70" s="656"/>
      <c r="BY70" s="656"/>
      <c r="BZ70" s="656"/>
      <c r="CA70" s="657"/>
      <c r="CB70" s="656"/>
      <c r="CC70" s="656"/>
      <c r="CD70" s="656"/>
      <c r="CE70" s="656"/>
      <c r="CF70" s="656"/>
      <c r="CG70" s="656"/>
      <c r="CH70" s="656"/>
      <c r="CI70" s="656"/>
      <c r="CJ70" s="656"/>
      <c r="CK70" s="656"/>
      <c r="CL70" s="656"/>
      <c r="CM70" s="656"/>
      <c r="CN70" s="680"/>
      <c r="CO70" s="680"/>
      <c r="CP70" s="656"/>
      <c r="CQ70" s="656"/>
      <c r="CR70" s="656"/>
      <c r="CS70" s="656"/>
      <c r="CT70" s="656"/>
      <c r="CU70" s="656"/>
      <c r="CV70" s="656"/>
      <c r="CW70" s="656"/>
      <c r="CX70" s="656"/>
      <c r="CY70" s="656"/>
      <c r="CZ70" s="669"/>
      <c r="DA70" s="665"/>
      <c r="DB70" s="666"/>
      <c r="DC70" s="667"/>
      <c r="DD70" s="667"/>
      <c r="DE70" s="667"/>
      <c r="DF70" s="653"/>
      <c r="DG70" s="668"/>
      <c r="DH70" s="655"/>
      <c r="DI70" s="656"/>
      <c r="DJ70" s="656"/>
      <c r="DK70" s="656"/>
      <c r="DL70" s="656"/>
      <c r="DM70" s="656"/>
      <c r="DN70" s="656"/>
      <c r="DO70" s="657"/>
      <c r="DP70" s="633"/>
      <c r="DQ70" s="634"/>
    </row>
    <row r="71" spans="1:121" ht="21" customHeight="1" x14ac:dyDescent="0.15">
      <c r="A71" s="652">
        <f>ROUNDUP(MOD(ROW()-6,71)/1,0)</f>
        <v>65</v>
      </c>
      <c r="B71" s="626"/>
      <c r="C71" s="698"/>
      <c r="D71" s="651"/>
      <c r="E71" s="651"/>
      <c r="F71" s="651"/>
      <c r="G71" s="699"/>
      <c r="H71" s="700"/>
      <c r="I71" s="700"/>
      <c r="J71" s="700"/>
      <c r="K71" s="700"/>
      <c r="L71" s="700"/>
      <c r="M71" s="700"/>
      <c r="N71" s="701"/>
      <c r="O71" s="702"/>
      <c r="P71" s="703"/>
      <c r="Q71" s="700"/>
      <c r="R71" s="700"/>
      <c r="S71" s="700"/>
      <c r="T71" s="701"/>
      <c r="U71" s="700"/>
      <c r="V71" s="700"/>
      <c r="W71" s="700"/>
      <c r="X71" s="700"/>
      <c r="Y71" s="700"/>
      <c r="Z71" s="700"/>
      <c r="AA71" s="700"/>
      <c r="AB71" s="700"/>
      <c r="AC71" s="700"/>
      <c r="AD71" s="700"/>
      <c r="AE71" s="700"/>
      <c r="AF71" s="700"/>
      <c r="AG71" s="704"/>
      <c r="AH71" s="700"/>
      <c r="AI71" s="700"/>
      <c r="AJ71" s="700"/>
      <c r="AK71" s="700"/>
      <c r="AL71" s="700"/>
      <c r="AM71" s="700"/>
      <c r="AN71" s="700"/>
      <c r="AO71" s="700"/>
      <c r="AP71" s="700"/>
      <c r="AQ71" s="700"/>
      <c r="AR71" s="700"/>
      <c r="AS71" s="705"/>
      <c r="AT71" s="649"/>
      <c r="AU71" s="650"/>
      <c r="AV71" s="706"/>
      <c r="AW71" s="706"/>
      <c r="AX71" s="706"/>
      <c r="AY71" s="698"/>
      <c r="AZ71" s="707"/>
      <c r="BA71" s="699"/>
      <c r="BB71" s="700"/>
      <c r="BC71" s="700"/>
      <c r="BD71" s="700"/>
      <c r="BE71" s="700"/>
      <c r="BF71" s="700"/>
      <c r="BG71" s="700"/>
      <c r="BH71" s="701"/>
      <c r="BI71" s="630"/>
      <c r="BJ71" s="698"/>
      <c r="BK71" s="651"/>
      <c r="BL71" s="651"/>
      <c r="BM71" s="651"/>
      <c r="BN71" s="699"/>
      <c r="BO71" s="700"/>
      <c r="BP71" s="700"/>
      <c r="BQ71" s="700"/>
      <c r="BR71" s="700"/>
      <c r="BS71" s="700"/>
      <c r="BT71" s="700"/>
      <c r="BU71" s="701"/>
      <c r="BV71" s="702"/>
      <c r="BW71" s="703"/>
      <c r="BX71" s="700"/>
      <c r="BY71" s="700"/>
      <c r="BZ71" s="700"/>
      <c r="CA71" s="701"/>
      <c r="CB71" s="700"/>
      <c r="CC71" s="700"/>
      <c r="CD71" s="700"/>
      <c r="CE71" s="700"/>
      <c r="CF71" s="700"/>
      <c r="CG71" s="700"/>
      <c r="CH71" s="700"/>
      <c r="CI71" s="700"/>
      <c r="CJ71" s="700"/>
      <c r="CK71" s="700"/>
      <c r="CL71" s="700"/>
      <c r="CM71" s="700"/>
      <c r="CN71" s="704"/>
      <c r="CO71" s="704"/>
      <c r="CP71" s="700"/>
      <c r="CQ71" s="700"/>
      <c r="CR71" s="700"/>
      <c r="CS71" s="700"/>
      <c r="CT71" s="700"/>
      <c r="CU71" s="700"/>
      <c r="CV71" s="700"/>
      <c r="CW71" s="700"/>
      <c r="CX71" s="700"/>
      <c r="CY71" s="700"/>
      <c r="CZ71" s="705"/>
      <c r="DA71" s="649"/>
      <c r="DB71" s="650"/>
      <c r="DC71" s="706"/>
      <c r="DD71" s="706"/>
      <c r="DE71" s="706"/>
      <c r="DF71" s="698"/>
      <c r="DG71" s="707"/>
      <c r="DH71" s="699"/>
      <c r="DI71" s="700"/>
      <c r="DJ71" s="700"/>
      <c r="DK71" s="700"/>
      <c r="DL71" s="700"/>
      <c r="DM71" s="700"/>
      <c r="DN71" s="700"/>
      <c r="DO71" s="701"/>
      <c r="DP71" s="633"/>
      <c r="DQ71" s="634"/>
    </row>
    <row r="72" spans="1:121" ht="6.6" customHeight="1" x14ac:dyDescent="0.15">
      <c r="B72" s="626"/>
      <c r="C72" s="708"/>
      <c r="D72" s="709"/>
      <c r="E72" s="709"/>
      <c r="F72" s="709"/>
      <c r="G72" s="630"/>
      <c r="H72" s="630"/>
      <c r="I72" s="630"/>
      <c r="J72" s="630"/>
      <c r="K72" s="630"/>
      <c r="L72" s="630"/>
      <c r="M72" s="630"/>
      <c r="N72" s="630"/>
      <c r="O72" s="710"/>
      <c r="P72" s="710"/>
      <c r="Q72" s="630"/>
      <c r="R72" s="630"/>
      <c r="S72" s="630"/>
      <c r="T72" s="630"/>
      <c r="U72" s="630"/>
      <c r="V72" s="630"/>
      <c r="W72" s="630"/>
      <c r="X72" s="630"/>
      <c r="Y72" s="630"/>
      <c r="Z72" s="630"/>
      <c r="AA72" s="630"/>
      <c r="AB72" s="630"/>
      <c r="AC72" s="630"/>
      <c r="AD72" s="630"/>
      <c r="AE72" s="630"/>
      <c r="AF72" s="630"/>
      <c r="AG72" s="631"/>
      <c r="AH72" s="630"/>
      <c r="AI72" s="630"/>
      <c r="AJ72" s="630"/>
      <c r="AK72" s="630"/>
      <c r="AL72" s="630"/>
      <c r="AM72" s="630"/>
      <c r="AN72" s="630"/>
      <c r="AO72" s="630"/>
      <c r="AP72" s="630"/>
      <c r="AQ72" s="630"/>
      <c r="AR72" s="630"/>
      <c r="AS72" s="709"/>
      <c r="AT72" s="709"/>
      <c r="AU72" s="709"/>
      <c r="AV72" s="709"/>
      <c r="AW72" s="709"/>
      <c r="AX72" s="711"/>
      <c r="AY72" s="711"/>
      <c r="AZ72" s="711"/>
      <c r="BA72" s="630"/>
      <c r="BB72" s="630"/>
      <c r="BC72" s="630"/>
      <c r="BD72" s="630"/>
      <c r="BE72" s="630"/>
      <c r="BF72" s="630"/>
      <c r="BG72" s="630"/>
      <c r="BH72" s="630"/>
      <c r="BI72" s="630"/>
      <c r="BJ72" s="709"/>
      <c r="BK72" s="709"/>
      <c r="BL72" s="709"/>
      <c r="BM72" s="709"/>
      <c r="BN72" s="630"/>
      <c r="BO72" s="630"/>
      <c r="BP72" s="630"/>
      <c r="BQ72" s="630"/>
      <c r="BR72" s="630"/>
      <c r="BS72" s="630"/>
      <c r="BT72" s="630"/>
      <c r="BU72" s="630"/>
      <c r="BV72" s="710"/>
      <c r="BW72" s="710"/>
      <c r="BX72" s="630"/>
      <c r="BY72" s="630"/>
      <c r="BZ72" s="630"/>
      <c r="CA72" s="630"/>
      <c r="CB72" s="630"/>
      <c r="CC72" s="630"/>
      <c r="CD72" s="630"/>
      <c r="CE72" s="630"/>
      <c r="CF72" s="630"/>
      <c r="CG72" s="630"/>
      <c r="CH72" s="630"/>
      <c r="CI72" s="630"/>
      <c r="CJ72" s="630"/>
      <c r="CK72" s="630"/>
      <c r="CL72" s="630"/>
      <c r="CM72" s="630"/>
      <c r="CN72" s="631"/>
      <c r="CO72" s="631"/>
      <c r="CP72" s="630"/>
      <c r="CQ72" s="630"/>
      <c r="CR72" s="630"/>
      <c r="CS72" s="630"/>
      <c r="CT72" s="630"/>
      <c r="CU72" s="630"/>
      <c r="CV72" s="630"/>
      <c r="CW72" s="630"/>
      <c r="CX72" s="630"/>
      <c r="CY72" s="630"/>
      <c r="CZ72" s="709"/>
      <c r="DA72" s="709"/>
      <c r="DB72" s="709"/>
      <c r="DC72" s="709"/>
      <c r="DD72" s="709"/>
      <c r="DE72" s="711"/>
      <c r="DF72" s="711"/>
      <c r="DG72" s="711"/>
      <c r="DH72" s="630"/>
      <c r="DI72" s="630"/>
      <c r="DJ72" s="630"/>
      <c r="DK72" s="630"/>
      <c r="DL72" s="630"/>
      <c r="DM72" s="630"/>
      <c r="DN72" s="630"/>
      <c r="DO72" s="712"/>
      <c r="DP72" s="633"/>
      <c r="DQ72" s="634"/>
    </row>
    <row r="73" spans="1:121" ht="21" customHeight="1" x14ac:dyDescent="0.15">
      <c r="B73" s="626"/>
      <c r="C73" s="713"/>
      <c r="D73" s="714" t="s">
        <v>557</v>
      </c>
      <c r="E73" s="714"/>
      <c r="F73" s="714"/>
      <c r="G73" s="714"/>
      <c r="H73" s="714"/>
      <c r="I73" s="714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5"/>
      <c r="AH73" s="714"/>
      <c r="AI73" s="714"/>
      <c r="AJ73" s="714"/>
      <c r="AK73" s="714"/>
      <c r="AL73" s="714"/>
      <c r="AM73" s="714"/>
      <c r="AN73" s="714"/>
      <c r="AO73" s="714"/>
      <c r="AP73" s="714"/>
      <c r="AQ73" s="714"/>
      <c r="AR73" s="714"/>
      <c r="AS73" s="714"/>
      <c r="AT73" s="714"/>
      <c r="AU73" s="714"/>
      <c r="AV73" s="714"/>
      <c r="AW73" s="714"/>
      <c r="AX73" s="714"/>
      <c r="AY73" s="714"/>
      <c r="AZ73" s="714"/>
      <c r="BA73" s="714"/>
      <c r="BB73" s="714"/>
      <c r="BC73" s="714"/>
      <c r="BD73" s="714"/>
      <c r="BE73" s="714"/>
      <c r="BF73" s="715"/>
      <c r="BG73" s="714"/>
      <c r="BH73" s="714"/>
      <c r="BI73" s="714"/>
      <c r="BJ73" s="714"/>
      <c r="BK73" s="714"/>
      <c r="BL73" s="714"/>
      <c r="BM73" s="714"/>
      <c r="BN73" s="714"/>
      <c r="BO73" s="714"/>
      <c r="BP73" s="714"/>
      <c r="BQ73" s="714"/>
      <c r="BR73" s="714"/>
      <c r="BS73" s="714"/>
      <c r="BT73" s="714"/>
      <c r="BU73" s="714"/>
      <c r="BV73" s="714"/>
      <c r="BW73" s="714"/>
      <c r="BX73" s="714"/>
      <c r="BY73" s="714"/>
      <c r="BZ73" s="714"/>
      <c r="CA73" s="714"/>
      <c r="CB73" s="714"/>
      <c r="CC73" s="714"/>
      <c r="CD73" s="714"/>
      <c r="CE73" s="714"/>
      <c r="CF73" s="714"/>
      <c r="CG73" s="714"/>
      <c r="CH73" s="714"/>
      <c r="CI73" s="714"/>
      <c r="CJ73" s="714"/>
      <c r="CK73" s="714"/>
      <c r="CL73" s="714"/>
      <c r="CM73" s="716"/>
      <c r="CN73" s="716"/>
      <c r="CO73" s="714"/>
      <c r="CP73" s="714"/>
      <c r="CQ73" s="714"/>
      <c r="CR73" s="714"/>
      <c r="CS73" s="714"/>
      <c r="CT73" s="714"/>
      <c r="CU73" s="714"/>
      <c r="CV73" s="714"/>
      <c r="CW73" s="714"/>
      <c r="CX73" s="714"/>
      <c r="CY73" s="714"/>
      <c r="CZ73" s="717"/>
      <c r="DA73" s="717"/>
      <c r="DB73" s="718"/>
      <c r="DC73" s="717"/>
      <c r="DD73" s="717"/>
      <c r="DE73" s="719"/>
      <c r="DF73" s="719"/>
      <c r="DG73" s="719"/>
      <c r="DH73" s="714"/>
      <c r="DI73" s="714"/>
      <c r="DJ73" s="714"/>
      <c r="DK73" s="714"/>
      <c r="DL73" s="714"/>
      <c r="DM73" s="714"/>
      <c r="DN73" s="714"/>
      <c r="DO73" s="720"/>
      <c r="DP73" s="633"/>
      <c r="DQ73" s="634"/>
    </row>
    <row r="74" spans="1:121" ht="21" customHeight="1" x14ac:dyDescent="0.15">
      <c r="B74" s="626"/>
      <c r="C74" s="721"/>
      <c r="D74" s="722" t="s">
        <v>558</v>
      </c>
      <c r="E74" s="630"/>
      <c r="F74" s="630"/>
      <c r="G74" s="630"/>
      <c r="H74" s="630"/>
      <c r="I74" s="630"/>
      <c r="J74" s="630"/>
      <c r="K74" s="630"/>
      <c r="L74" s="630"/>
      <c r="M74" s="630"/>
      <c r="N74" s="630"/>
      <c r="O74" s="630"/>
      <c r="P74" s="630"/>
      <c r="Q74" s="630"/>
      <c r="R74" s="630"/>
      <c r="S74" s="630"/>
      <c r="T74" s="630"/>
      <c r="U74" s="630"/>
      <c r="V74" s="630"/>
      <c r="W74" s="630"/>
      <c r="X74" s="630"/>
      <c r="Y74" s="630"/>
      <c r="Z74" s="630"/>
      <c r="AA74" s="630"/>
      <c r="AB74" s="722"/>
      <c r="AC74" s="630"/>
      <c r="AD74" s="630"/>
      <c r="AE74" s="630"/>
      <c r="AF74" s="630"/>
      <c r="AG74" s="632"/>
      <c r="AH74" s="630"/>
      <c r="AI74" s="630"/>
      <c r="AJ74" s="630"/>
      <c r="AK74" s="630"/>
      <c r="AL74" s="630"/>
      <c r="AM74" s="630"/>
      <c r="AN74" s="630"/>
      <c r="AO74" s="630"/>
      <c r="AP74" s="630"/>
      <c r="AQ74" s="630"/>
      <c r="AR74" s="630"/>
      <c r="AS74" s="630"/>
      <c r="AT74" s="630"/>
      <c r="AU74" s="630"/>
      <c r="AV74" s="630"/>
      <c r="AW74" s="630"/>
      <c r="AX74" s="630"/>
      <c r="AY74" s="630"/>
      <c r="AZ74" s="630"/>
      <c r="BA74" s="722"/>
      <c r="BB74" s="630"/>
      <c r="BC74" s="630"/>
      <c r="BD74" s="630"/>
      <c r="BE74" s="630"/>
      <c r="BF74" s="632"/>
      <c r="BG74" s="630"/>
      <c r="BH74" s="630"/>
      <c r="BI74" s="630"/>
      <c r="BJ74" s="630"/>
      <c r="BK74" s="630"/>
      <c r="BL74" s="630"/>
      <c r="BM74" s="630"/>
      <c r="BN74" s="630"/>
      <c r="BO74" s="630"/>
      <c r="BP74" s="630"/>
      <c r="BQ74" s="630"/>
      <c r="BR74" s="630"/>
      <c r="BS74" s="630"/>
      <c r="BT74" s="630"/>
      <c r="BU74" s="630"/>
      <c r="BV74" s="630"/>
      <c r="BW74" s="722"/>
      <c r="BX74" s="630"/>
      <c r="BY74" s="630"/>
      <c r="BZ74" s="630"/>
      <c r="CA74" s="630"/>
      <c r="CB74" s="632"/>
      <c r="CC74" s="630"/>
      <c r="CD74" s="630"/>
      <c r="CE74" s="630"/>
      <c r="CF74" s="630"/>
      <c r="CG74" s="630"/>
      <c r="CH74" s="630"/>
      <c r="CI74" s="630"/>
      <c r="CJ74" s="630"/>
      <c r="CK74" s="630"/>
      <c r="CL74" s="630"/>
      <c r="CM74" s="631"/>
      <c r="CN74" s="631"/>
      <c r="CO74" s="630"/>
      <c r="CP74" s="630"/>
      <c r="CQ74" s="630"/>
      <c r="CR74" s="630"/>
      <c r="CS74" s="630"/>
      <c r="CT74" s="630"/>
      <c r="CU74" s="630"/>
      <c r="CV74" s="630"/>
      <c r="CW74" s="630"/>
      <c r="CX74" s="630"/>
      <c r="CY74" s="630"/>
      <c r="CZ74" s="723"/>
      <c r="DA74" s="723"/>
      <c r="DB74" s="709"/>
      <c r="DC74" s="723"/>
      <c r="DD74" s="723"/>
      <c r="DE74" s="724"/>
      <c r="DF74" s="724"/>
      <c r="DG74" s="724"/>
      <c r="DH74" s="630"/>
      <c r="DI74" s="630"/>
      <c r="DJ74" s="630"/>
      <c r="DK74" s="630"/>
      <c r="DL74" s="630"/>
      <c r="DM74" s="630"/>
      <c r="DN74" s="630"/>
      <c r="DO74" s="725"/>
      <c r="DP74" s="633"/>
      <c r="DQ74" s="634"/>
    </row>
    <row r="75" spans="1:121" ht="21" customHeight="1" x14ac:dyDescent="0.15">
      <c r="B75" s="626"/>
      <c r="C75" s="721"/>
      <c r="D75" s="722" t="s">
        <v>559</v>
      </c>
      <c r="E75" s="630"/>
      <c r="F75" s="630"/>
      <c r="G75" s="630"/>
      <c r="H75" s="630"/>
      <c r="I75" s="630"/>
      <c r="J75" s="630"/>
      <c r="K75" s="630"/>
      <c r="L75" s="630"/>
      <c r="M75" s="630"/>
      <c r="N75" s="630"/>
      <c r="O75" s="630"/>
      <c r="P75" s="630"/>
      <c r="Q75" s="630"/>
      <c r="R75" s="630"/>
      <c r="S75" s="630"/>
      <c r="T75" s="630"/>
      <c r="U75" s="630"/>
      <c r="V75" s="630"/>
      <c r="W75" s="630"/>
      <c r="X75" s="630"/>
      <c r="Y75" s="630"/>
      <c r="Z75" s="630"/>
      <c r="AA75" s="630"/>
      <c r="AB75" s="722"/>
      <c r="AC75" s="630"/>
      <c r="AD75" s="630"/>
      <c r="AE75" s="630"/>
      <c r="AF75" s="630"/>
      <c r="AG75" s="632"/>
      <c r="AH75" s="630"/>
      <c r="AI75" s="630"/>
      <c r="AJ75" s="630"/>
      <c r="AK75" s="630"/>
      <c r="AL75" s="630"/>
      <c r="AM75" s="630"/>
      <c r="AN75" s="630"/>
      <c r="AO75" s="630"/>
      <c r="AP75" s="630"/>
      <c r="AQ75" s="630"/>
      <c r="AR75" s="630"/>
      <c r="AS75" s="630"/>
      <c r="AT75" s="630"/>
      <c r="AU75" s="630"/>
      <c r="AV75" s="630"/>
      <c r="AW75" s="630"/>
      <c r="AX75" s="630"/>
      <c r="AY75" s="630"/>
      <c r="AZ75" s="630"/>
      <c r="BA75" s="722"/>
      <c r="BB75" s="630"/>
      <c r="BC75" s="630"/>
      <c r="BD75" s="630"/>
      <c r="BE75" s="630"/>
      <c r="BF75" s="632"/>
      <c r="BG75" s="630"/>
      <c r="BH75" s="630"/>
      <c r="BI75" s="630"/>
      <c r="BJ75" s="630"/>
      <c r="BK75" s="630"/>
      <c r="BL75" s="630"/>
      <c r="BM75" s="630"/>
      <c r="BN75" s="630"/>
      <c r="BO75" s="630"/>
      <c r="BP75" s="630"/>
      <c r="BQ75" s="630"/>
      <c r="BR75" s="630"/>
      <c r="BS75" s="630"/>
      <c r="BT75" s="630"/>
      <c r="BU75" s="630"/>
      <c r="BV75" s="630"/>
      <c r="BW75" s="722"/>
      <c r="BX75" s="630"/>
      <c r="BY75" s="630"/>
      <c r="BZ75" s="630"/>
      <c r="CA75" s="630"/>
      <c r="CB75" s="632"/>
      <c r="CC75" s="630"/>
      <c r="CD75" s="630"/>
      <c r="CE75" s="630"/>
      <c r="CF75" s="630"/>
      <c r="CG75" s="630"/>
      <c r="CH75" s="630"/>
      <c r="CI75" s="630"/>
      <c r="CJ75" s="630"/>
      <c r="CK75" s="630"/>
      <c r="CL75" s="630"/>
      <c r="CM75" s="631"/>
      <c r="CN75" s="631"/>
      <c r="CO75" s="630"/>
      <c r="CP75" s="630"/>
      <c r="CQ75" s="630"/>
      <c r="CR75" s="630"/>
      <c r="CS75" s="630"/>
      <c r="CT75" s="630"/>
      <c r="CU75" s="630"/>
      <c r="CV75" s="630"/>
      <c r="CW75" s="630"/>
      <c r="CX75" s="630"/>
      <c r="CY75" s="630"/>
      <c r="CZ75" s="723"/>
      <c r="DA75" s="723"/>
      <c r="DB75" s="709"/>
      <c r="DC75" s="723"/>
      <c r="DD75" s="723"/>
      <c r="DE75" s="724"/>
      <c r="DF75" s="724"/>
      <c r="DG75" s="724"/>
      <c r="DH75" s="630"/>
      <c r="DI75" s="630"/>
      <c r="DJ75" s="630"/>
      <c r="DK75" s="630"/>
      <c r="DL75" s="630"/>
      <c r="DM75" s="630"/>
      <c r="DN75" s="630"/>
      <c r="DO75" s="725"/>
      <c r="DP75" s="633"/>
      <c r="DQ75" s="634"/>
    </row>
    <row r="76" spans="1:121" ht="21" customHeight="1" x14ac:dyDescent="0.15">
      <c r="B76" s="626"/>
      <c r="C76" s="721"/>
      <c r="D76" s="722"/>
      <c r="E76" s="630"/>
      <c r="F76" s="630"/>
      <c r="G76" s="630"/>
      <c r="H76" s="630"/>
      <c r="I76" s="630"/>
      <c r="J76" s="630"/>
      <c r="K76" s="630"/>
      <c r="L76" s="630"/>
      <c r="M76" s="630"/>
      <c r="N76" s="630"/>
      <c r="O76" s="630"/>
      <c r="P76" s="630"/>
      <c r="Q76" s="630"/>
      <c r="R76" s="630"/>
      <c r="S76" s="630"/>
      <c r="T76" s="630"/>
      <c r="U76" s="630"/>
      <c r="V76" s="630"/>
      <c r="W76" s="630"/>
      <c r="X76" s="630"/>
      <c r="Y76" s="630"/>
      <c r="Z76" s="630"/>
      <c r="AA76" s="630"/>
      <c r="AB76" s="722"/>
      <c r="AC76" s="630"/>
      <c r="AD76" s="630"/>
      <c r="AE76" s="630"/>
      <c r="AF76" s="630"/>
      <c r="AG76" s="632"/>
      <c r="AH76" s="630"/>
      <c r="AI76" s="630"/>
      <c r="AJ76" s="630"/>
      <c r="AK76" s="630"/>
      <c r="AL76" s="630"/>
      <c r="AM76" s="630"/>
      <c r="AN76" s="630"/>
      <c r="AO76" s="630"/>
      <c r="AP76" s="630"/>
      <c r="AQ76" s="630"/>
      <c r="AR76" s="630"/>
      <c r="AS76" s="630"/>
      <c r="AT76" s="630"/>
      <c r="AU76" s="630"/>
      <c r="AV76" s="630"/>
      <c r="AW76" s="630"/>
      <c r="AX76" s="630"/>
      <c r="AY76" s="630"/>
      <c r="AZ76" s="630"/>
      <c r="BA76" s="722"/>
      <c r="BB76" s="630"/>
      <c r="BC76" s="630"/>
      <c r="BD76" s="630"/>
      <c r="BE76" s="630"/>
      <c r="BF76" s="632"/>
      <c r="BG76" s="630"/>
      <c r="BH76" s="630"/>
      <c r="BI76" s="630"/>
      <c r="BJ76" s="630"/>
      <c r="BK76" s="630"/>
      <c r="BL76" s="630"/>
      <c r="BM76" s="630"/>
      <c r="BN76" s="630"/>
      <c r="BO76" s="630"/>
      <c r="BP76" s="630"/>
      <c r="BQ76" s="630"/>
      <c r="BR76" s="630"/>
      <c r="BS76" s="630"/>
      <c r="BT76" s="630"/>
      <c r="BU76" s="630"/>
      <c r="BV76" s="630"/>
      <c r="BW76" s="630"/>
      <c r="BX76" s="726"/>
      <c r="BY76" s="726"/>
      <c r="BZ76" s="630"/>
      <c r="CA76" s="630"/>
      <c r="CB76" s="630"/>
      <c r="CC76" s="630"/>
      <c r="CD76" s="630"/>
      <c r="CE76" s="630"/>
      <c r="CF76" s="630"/>
      <c r="CG76" s="630"/>
      <c r="CH76" s="630"/>
      <c r="CI76" s="630"/>
      <c r="CJ76" s="630"/>
      <c r="CK76" s="630"/>
      <c r="CL76" s="630"/>
      <c r="CM76" s="631"/>
      <c r="CN76" s="631"/>
      <c r="CO76" s="630"/>
      <c r="CP76" s="630"/>
      <c r="CQ76" s="630"/>
      <c r="CR76" s="630"/>
      <c r="CS76" s="630"/>
      <c r="CT76" s="630"/>
      <c r="CU76" s="630"/>
      <c r="CV76" s="630"/>
      <c r="CW76" s="630"/>
      <c r="CX76" s="630"/>
      <c r="CY76" s="630"/>
      <c r="CZ76" s="723"/>
      <c r="DA76" s="723"/>
      <c r="DB76" s="709"/>
      <c r="DC76" s="723"/>
      <c r="DD76" s="723"/>
      <c r="DE76" s="724"/>
      <c r="DF76" s="724"/>
      <c r="DG76" s="724"/>
      <c r="DH76" s="630"/>
      <c r="DI76" s="630"/>
      <c r="DJ76" s="630"/>
      <c r="DK76" s="630"/>
      <c r="DL76" s="630"/>
      <c r="DM76" s="630"/>
      <c r="DN76" s="630"/>
      <c r="DO76" s="725"/>
      <c r="DP76" s="633"/>
      <c r="DQ76" s="634"/>
    </row>
    <row r="77" spans="1:121" ht="21" customHeight="1" x14ac:dyDescent="0.15">
      <c r="B77" s="626"/>
      <c r="C77" s="721"/>
      <c r="D77" s="722" t="s">
        <v>560</v>
      </c>
      <c r="E77" s="630"/>
      <c r="F77" s="630"/>
      <c r="G77" s="630"/>
      <c r="H77" s="630"/>
      <c r="I77" s="630"/>
      <c r="J77" s="630"/>
      <c r="K77" s="630"/>
      <c r="L77" s="630"/>
      <c r="M77" s="630"/>
      <c r="N77" s="630"/>
      <c r="O77" s="630"/>
      <c r="P77" s="630"/>
      <c r="Q77" s="630"/>
      <c r="R77" s="630"/>
      <c r="S77" s="630"/>
      <c r="T77" s="630"/>
      <c r="U77" s="630"/>
      <c r="V77" s="630"/>
      <c r="W77" s="630"/>
      <c r="X77" s="630"/>
      <c r="Y77" s="630"/>
      <c r="Z77" s="630"/>
      <c r="AA77" s="630"/>
      <c r="AB77" s="722"/>
      <c r="AC77" s="630"/>
      <c r="AD77" s="630"/>
      <c r="AE77" s="630"/>
      <c r="AF77" s="630"/>
      <c r="AG77" s="632"/>
      <c r="AH77" s="630"/>
      <c r="AI77" s="630"/>
      <c r="AJ77" s="630"/>
      <c r="AK77" s="630"/>
      <c r="AL77" s="630"/>
      <c r="AM77" s="630"/>
      <c r="AN77" s="630"/>
      <c r="AO77" s="630"/>
      <c r="AP77" s="630"/>
      <c r="AQ77" s="630"/>
      <c r="AR77" s="630"/>
      <c r="AS77" s="630"/>
      <c r="AT77" s="630"/>
      <c r="AU77" s="630"/>
      <c r="AV77" s="630"/>
      <c r="AW77" s="630"/>
      <c r="AX77" s="630"/>
      <c r="AY77" s="630"/>
      <c r="AZ77" s="630"/>
      <c r="BA77" s="722"/>
      <c r="BB77" s="630"/>
      <c r="BC77" s="630"/>
      <c r="BD77" s="630"/>
      <c r="BE77" s="630"/>
      <c r="BF77" s="632"/>
      <c r="BG77" s="630"/>
      <c r="BH77" s="630"/>
      <c r="BI77" s="630"/>
      <c r="BJ77" s="630"/>
      <c r="BK77" s="630"/>
      <c r="BL77" s="630"/>
      <c r="BM77" s="630"/>
      <c r="BN77" s="630"/>
      <c r="BO77" s="630"/>
      <c r="BP77" s="630"/>
      <c r="BQ77" s="630"/>
      <c r="BR77" s="630"/>
      <c r="BS77" s="630"/>
      <c r="BT77" s="630"/>
      <c r="BU77" s="630"/>
      <c r="BV77" s="630"/>
      <c r="BW77" s="630"/>
      <c r="BX77" s="726"/>
      <c r="BY77" s="726"/>
      <c r="BZ77" s="630"/>
      <c r="CA77" s="630"/>
      <c r="CB77" s="630"/>
      <c r="CC77" s="630"/>
      <c r="CD77" s="630"/>
      <c r="CE77" s="630"/>
      <c r="CF77" s="630"/>
      <c r="CG77" s="630"/>
      <c r="CH77" s="630"/>
      <c r="CI77" s="630"/>
      <c r="CJ77" s="630"/>
      <c r="CK77" s="630"/>
      <c r="CL77" s="630"/>
      <c r="CM77" s="631"/>
      <c r="CN77" s="631"/>
      <c r="CO77" s="630"/>
      <c r="CP77" s="630"/>
      <c r="CQ77" s="630"/>
      <c r="CR77" s="630"/>
      <c r="CS77" s="630"/>
      <c r="CT77" s="630"/>
      <c r="CU77" s="630"/>
      <c r="CV77" s="630"/>
      <c r="CW77" s="630"/>
      <c r="CX77" s="630"/>
      <c r="CY77" s="630"/>
      <c r="CZ77" s="723"/>
      <c r="DA77" s="723"/>
      <c r="DB77" s="709"/>
      <c r="DC77" s="723"/>
      <c r="DD77" s="723"/>
      <c r="DE77" s="724"/>
      <c r="DF77" s="724"/>
      <c r="DG77" s="724"/>
      <c r="DH77" s="630"/>
      <c r="DI77" s="630"/>
      <c r="DJ77" s="630"/>
      <c r="DK77" s="630"/>
      <c r="DL77" s="630"/>
      <c r="DM77" s="630"/>
      <c r="DN77" s="630"/>
      <c r="DO77" s="725"/>
      <c r="DP77" s="633"/>
      <c r="DQ77" s="634"/>
    </row>
    <row r="78" spans="1:121" ht="21" customHeight="1" x14ac:dyDescent="0.15">
      <c r="B78" s="626"/>
      <c r="C78" s="727"/>
      <c r="D78" s="722" t="s">
        <v>561</v>
      </c>
      <c r="E78" s="630"/>
      <c r="F78" s="630"/>
      <c r="G78" s="630"/>
      <c r="H78" s="630"/>
      <c r="I78" s="630"/>
      <c r="J78" s="630"/>
      <c r="K78" s="630"/>
      <c r="L78" s="630"/>
      <c r="M78" s="630"/>
      <c r="N78" s="630"/>
      <c r="O78" s="630"/>
      <c r="P78" s="630"/>
      <c r="Q78" s="630"/>
      <c r="R78" s="630"/>
      <c r="S78" s="630"/>
      <c r="T78" s="630"/>
      <c r="U78" s="630"/>
      <c r="V78" s="630"/>
      <c r="W78" s="630"/>
      <c r="X78" s="630"/>
      <c r="Y78" s="630"/>
      <c r="Z78" s="630"/>
      <c r="AA78" s="631"/>
      <c r="AB78" s="722"/>
      <c r="AC78" s="630"/>
      <c r="AD78" s="630"/>
      <c r="AE78" s="630"/>
      <c r="AF78" s="630"/>
      <c r="AG78" s="632"/>
      <c r="AH78" s="630"/>
      <c r="AI78" s="630"/>
      <c r="AJ78" s="630"/>
      <c r="AK78" s="630"/>
      <c r="AL78" s="630"/>
      <c r="AM78" s="723"/>
      <c r="AN78" s="723"/>
      <c r="AO78" s="723"/>
      <c r="AP78" s="723"/>
      <c r="AQ78" s="630"/>
      <c r="AR78" s="630"/>
      <c r="AS78" s="630"/>
      <c r="AT78" s="630"/>
      <c r="AU78" s="723"/>
      <c r="AV78" s="723"/>
      <c r="AW78" s="709"/>
      <c r="AX78" s="723"/>
      <c r="AY78" s="723"/>
      <c r="AZ78" s="724"/>
      <c r="BA78" s="722"/>
      <c r="BB78" s="630"/>
      <c r="BC78" s="630"/>
      <c r="BD78" s="630"/>
      <c r="BE78" s="630"/>
      <c r="BF78" s="632"/>
      <c r="BG78" s="630"/>
      <c r="BH78" s="630"/>
      <c r="BI78" s="630"/>
      <c r="BJ78" s="630"/>
      <c r="BK78" s="630"/>
      <c r="BL78" s="723"/>
      <c r="BM78" s="723"/>
      <c r="BN78" s="723"/>
      <c r="BO78" s="723"/>
      <c r="BP78" s="630"/>
      <c r="BQ78" s="630"/>
      <c r="BR78" s="630"/>
      <c r="BS78" s="630"/>
      <c r="BT78" s="630"/>
      <c r="BU78" s="630"/>
      <c r="BV78" s="630"/>
      <c r="BW78" s="630"/>
      <c r="BX78" s="726"/>
      <c r="BY78" s="726"/>
      <c r="BZ78" s="630"/>
      <c r="CA78" s="630"/>
      <c r="CB78" s="630"/>
      <c r="CC78" s="630"/>
      <c r="CD78" s="630"/>
      <c r="CE78" s="630"/>
      <c r="CF78" s="630"/>
      <c r="CG78" s="630"/>
      <c r="CH78" s="630"/>
      <c r="CI78" s="630"/>
      <c r="CJ78" s="630"/>
      <c r="CK78" s="630"/>
      <c r="CL78" s="630"/>
      <c r="CM78" s="630"/>
      <c r="CN78" s="630"/>
      <c r="CO78" s="631"/>
      <c r="CP78" s="630"/>
      <c r="CQ78" s="630"/>
      <c r="CR78" s="630"/>
      <c r="CS78" s="630"/>
      <c r="CT78" s="630"/>
      <c r="CU78" s="630"/>
      <c r="CV78" s="630"/>
      <c r="CW78" s="630"/>
      <c r="CX78" s="630"/>
      <c r="CY78" s="630"/>
      <c r="CZ78" s="723"/>
      <c r="DA78" s="723"/>
      <c r="DB78" s="709"/>
      <c r="DC78" s="723"/>
      <c r="DD78" s="723"/>
      <c r="DE78" s="724"/>
      <c r="DF78" s="724"/>
      <c r="DG78" s="724"/>
      <c r="DH78" s="630"/>
      <c r="DI78" s="630"/>
      <c r="DJ78" s="630"/>
      <c r="DK78" s="630"/>
      <c r="DL78" s="630"/>
      <c r="DM78" s="630"/>
      <c r="DN78" s="630"/>
      <c r="DO78" s="725"/>
      <c r="DP78" s="633"/>
      <c r="DQ78" s="634"/>
    </row>
    <row r="79" spans="1:121" ht="21" customHeight="1" x14ac:dyDescent="0.15">
      <c r="B79" s="626"/>
      <c r="C79" s="727"/>
      <c r="D79" s="722" t="s">
        <v>562</v>
      </c>
      <c r="E79" s="630"/>
      <c r="F79" s="630"/>
      <c r="G79" s="630"/>
      <c r="H79" s="630"/>
      <c r="I79" s="630"/>
      <c r="J79" s="630"/>
      <c r="K79" s="630"/>
      <c r="L79" s="630"/>
      <c r="M79" s="630"/>
      <c r="N79" s="630"/>
      <c r="O79" s="630"/>
      <c r="P79" s="630"/>
      <c r="Q79" s="630"/>
      <c r="R79" s="630"/>
      <c r="S79" s="630"/>
      <c r="T79" s="630"/>
      <c r="U79" s="630"/>
      <c r="V79" s="630"/>
      <c r="W79" s="630"/>
      <c r="X79" s="630"/>
      <c r="Y79" s="630"/>
      <c r="Z79" s="630"/>
      <c r="AA79" s="631"/>
      <c r="AB79" s="722"/>
      <c r="AC79" s="630"/>
      <c r="AD79" s="630"/>
      <c r="AE79" s="630"/>
      <c r="AF79" s="630"/>
      <c r="AG79" s="630"/>
      <c r="AH79" s="630"/>
      <c r="AI79" s="631"/>
      <c r="AJ79" s="630"/>
      <c r="AK79" s="630"/>
      <c r="AL79" s="630"/>
      <c r="AM79" s="630"/>
      <c r="AN79" s="630"/>
      <c r="AO79" s="630"/>
      <c r="AP79" s="630"/>
      <c r="AQ79" s="630"/>
      <c r="AR79" s="630"/>
      <c r="AS79" s="630"/>
      <c r="AT79" s="630"/>
      <c r="AU79" s="723"/>
      <c r="AV79" s="723"/>
      <c r="AW79" s="709"/>
      <c r="AX79" s="723"/>
      <c r="AY79" s="723"/>
      <c r="AZ79" s="724"/>
      <c r="BA79" s="722"/>
      <c r="BB79" s="630"/>
      <c r="BC79" s="630"/>
      <c r="BD79" s="630"/>
      <c r="BE79" s="630"/>
      <c r="BF79" s="632"/>
      <c r="BG79" s="630"/>
      <c r="BH79" s="630"/>
      <c r="BI79" s="630"/>
      <c r="BJ79" s="630"/>
      <c r="BK79" s="630"/>
      <c r="BL79" s="723"/>
      <c r="BM79" s="723"/>
      <c r="BN79" s="723"/>
      <c r="BO79" s="723"/>
      <c r="BP79" s="630"/>
      <c r="BQ79" s="630"/>
      <c r="BR79" s="630"/>
      <c r="BS79" s="630"/>
      <c r="BT79" s="630"/>
      <c r="BU79" s="630"/>
      <c r="BV79" s="630"/>
      <c r="BW79" s="630"/>
      <c r="BX79" s="726"/>
      <c r="BY79" s="726"/>
      <c r="BZ79" s="630"/>
      <c r="CA79" s="630"/>
      <c r="CB79" s="630"/>
      <c r="CC79" s="630"/>
      <c r="CD79" s="630"/>
      <c r="CE79" s="630"/>
      <c r="CF79" s="630"/>
      <c r="CG79" s="630"/>
      <c r="CH79" s="630"/>
      <c r="CI79" s="630"/>
      <c r="CJ79" s="630"/>
      <c r="CK79" s="630"/>
      <c r="CL79" s="630"/>
      <c r="CM79" s="630"/>
      <c r="CN79" s="630"/>
      <c r="CO79" s="631"/>
      <c r="CP79" s="630"/>
      <c r="CQ79" s="630"/>
      <c r="CR79" s="630"/>
      <c r="CS79" s="630"/>
      <c r="CT79" s="630"/>
      <c r="CU79" s="630"/>
      <c r="CV79" s="630"/>
      <c r="CW79" s="630"/>
      <c r="CX79" s="630"/>
      <c r="CY79" s="630"/>
      <c r="CZ79" s="723"/>
      <c r="DA79" s="723"/>
      <c r="DB79" s="709"/>
      <c r="DC79" s="723"/>
      <c r="DD79" s="723"/>
      <c r="DE79" s="724"/>
      <c r="DF79" s="724"/>
      <c r="DG79" s="724"/>
      <c r="DH79" s="630"/>
      <c r="DI79" s="630"/>
      <c r="DJ79" s="630"/>
      <c r="DK79" s="630"/>
      <c r="DL79" s="630"/>
      <c r="DM79" s="630"/>
      <c r="DN79" s="630"/>
      <c r="DO79" s="725"/>
      <c r="DP79" s="633"/>
      <c r="DQ79" s="634"/>
    </row>
    <row r="80" spans="1:121" ht="21" customHeight="1" x14ac:dyDescent="0.15">
      <c r="B80" s="626"/>
      <c r="C80" s="727"/>
      <c r="D80" s="722" t="s">
        <v>563</v>
      </c>
      <c r="E80" s="630"/>
      <c r="F80" s="630"/>
      <c r="G80" s="630"/>
      <c r="H80" s="630"/>
      <c r="I80" s="630"/>
      <c r="J80" s="630"/>
      <c r="K80" s="630"/>
      <c r="L80" s="630"/>
      <c r="M80" s="630"/>
      <c r="N80" s="630"/>
      <c r="O80" s="630"/>
      <c r="P80" s="630"/>
      <c r="Q80" s="630"/>
      <c r="R80" s="630"/>
      <c r="S80" s="630"/>
      <c r="T80" s="630"/>
      <c r="U80" s="630"/>
      <c r="V80" s="630"/>
      <c r="W80" s="630"/>
      <c r="X80" s="630"/>
      <c r="Y80" s="630"/>
      <c r="Z80" s="630"/>
      <c r="AA80" s="631"/>
      <c r="AB80" s="722"/>
      <c r="AC80" s="630"/>
      <c r="AD80" s="630"/>
      <c r="AE80" s="630"/>
      <c r="AF80" s="630"/>
      <c r="AG80" s="630"/>
      <c r="AH80" s="630"/>
      <c r="AI80" s="631"/>
      <c r="AJ80" s="630"/>
      <c r="AK80" s="630"/>
      <c r="AL80" s="630"/>
      <c r="AM80" s="630"/>
      <c r="AN80" s="630"/>
      <c r="AO80" s="630"/>
      <c r="AP80" s="630"/>
      <c r="AQ80" s="630"/>
      <c r="AR80" s="630"/>
      <c r="AS80" s="630"/>
      <c r="AT80" s="630"/>
      <c r="AU80" s="723"/>
      <c r="AV80" s="723"/>
      <c r="AW80" s="709"/>
      <c r="AX80" s="723"/>
      <c r="AY80" s="723"/>
      <c r="AZ80" s="724"/>
      <c r="BA80" s="722"/>
      <c r="BB80" s="630"/>
      <c r="BC80" s="630"/>
      <c r="BD80" s="630"/>
      <c r="BE80" s="630"/>
      <c r="BF80" s="632"/>
      <c r="BG80" s="630"/>
      <c r="BH80" s="630"/>
      <c r="BI80" s="630"/>
      <c r="BJ80" s="630"/>
      <c r="BK80" s="630"/>
      <c r="BL80" s="723"/>
      <c r="BM80" s="723"/>
      <c r="BN80" s="723"/>
      <c r="BO80" s="723"/>
      <c r="BP80" s="630"/>
      <c r="BQ80" s="630"/>
      <c r="BR80" s="630"/>
      <c r="BS80" s="630"/>
      <c r="BT80" s="630"/>
      <c r="BU80" s="630"/>
      <c r="BV80" s="630"/>
      <c r="BW80" s="630"/>
      <c r="BX80" s="726"/>
      <c r="BY80" s="726"/>
      <c r="BZ80" s="630"/>
      <c r="CA80" s="630"/>
      <c r="CB80" s="630"/>
      <c r="CC80" s="630"/>
      <c r="CD80" s="630"/>
      <c r="CE80" s="630"/>
      <c r="CF80" s="630"/>
      <c r="CG80" s="630"/>
      <c r="CH80" s="630"/>
      <c r="CI80" s="630"/>
      <c r="CJ80" s="630"/>
      <c r="CK80" s="630"/>
      <c r="CL80" s="630"/>
      <c r="CM80" s="630"/>
      <c r="CN80" s="630"/>
      <c r="CO80" s="631"/>
      <c r="CP80" s="630"/>
      <c r="CQ80" s="630"/>
      <c r="CR80" s="630"/>
      <c r="CS80" s="630"/>
      <c r="CT80" s="630"/>
      <c r="CU80" s="630"/>
      <c r="CV80" s="630"/>
      <c r="CW80" s="630"/>
      <c r="CX80" s="630"/>
      <c r="CY80" s="630"/>
      <c r="CZ80" s="723"/>
      <c r="DA80" s="723"/>
      <c r="DB80" s="709"/>
      <c r="DC80" s="723"/>
      <c r="DD80" s="723"/>
      <c r="DE80" s="724"/>
      <c r="DF80" s="724"/>
      <c r="DG80" s="724"/>
      <c r="DH80" s="630"/>
      <c r="DI80" s="630"/>
      <c r="DJ80" s="630"/>
      <c r="DK80" s="630"/>
      <c r="DL80" s="630"/>
      <c r="DM80" s="630"/>
      <c r="DN80" s="630"/>
      <c r="DO80" s="725"/>
      <c r="DP80" s="633"/>
      <c r="DQ80" s="634"/>
    </row>
    <row r="81" spans="2:121" ht="21" customHeight="1" x14ac:dyDescent="0.15">
      <c r="B81" s="626"/>
      <c r="C81" s="728"/>
      <c r="D81" s="729" t="s">
        <v>564</v>
      </c>
      <c r="E81" s="730"/>
      <c r="F81" s="730"/>
      <c r="G81" s="730"/>
      <c r="H81" s="730"/>
      <c r="I81" s="730"/>
      <c r="J81" s="730"/>
      <c r="K81" s="730"/>
      <c r="L81" s="730"/>
      <c r="M81" s="730"/>
      <c r="N81" s="730"/>
      <c r="O81" s="730"/>
      <c r="P81" s="730"/>
      <c r="Q81" s="730"/>
      <c r="R81" s="730"/>
      <c r="S81" s="730"/>
      <c r="T81" s="730"/>
      <c r="U81" s="730"/>
      <c r="V81" s="730"/>
      <c r="W81" s="730"/>
      <c r="X81" s="730"/>
      <c r="Y81" s="730"/>
      <c r="Z81" s="730"/>
      <c r="AA81" s="731"/>
      <c r="AB81" s="729"/>
      <c r="AC81" s="730"/>
      <c r="AD81" s="730"/>
      <c r="AE81" s="730"/>
      <c r="AF81" s="730"/>
      <c r="AG81" s="730"/>
      <c r="AH81" s="730"/>
      <c r="AI81" s="731"/>
      <c r="AJ81" s="730"/>
      <c r="AK81" s="730"/>
      <c r="AL81" s="730"/>
      <c r="AM81" s="730"/>
      <c r="AN81" s="730"/>
      <c r="AO81" s="730"/>
      <c r="AP81" s="730"/>
      <c r="AQ81" s="730"/>
      <c r="AR81" s="730"/>
      <c r="AS81" s="730"/>
      <c r="AT81" s="730"/>
      <c r="AU81" s="732"/>
      <c r="AV81" s="732"/>
      <c r="AW81" s="733"/>
      <c r="AX81" s="732"/>
      <c r="AY81" s="732"/>
      <c r="AZ81" s="734"/>
      <c r="BA81" s="729"/>
      <c r="BB81" s="730"/>
      <c r="BC81" s="730"/>
      <c r="BD81" s="730"/>
      <c r="BE81" s="730"/>
      <c r="BF81" s="735"/>
      <c r="BG81" s="730"/>
      <c r="BH81" s="730"/>
      <c r="BI81" s="730"/>
      <c r="BJ81" s="730"/>
      <c r="BK81" s="730"/>
      <c r="BL81" s="732"/>
      <c r="BM81" s="732"/>
      <c r="BN81" s="732"/>
      <c r="BO81" s="732"/>
      <c r="BP81" s="730"/>
      <c r="BQ81" s="730"/>
      <c r="BR81" s="730"/>
      <c r="BS81" s="730"/>
      <c r="BT81" s="730"/>
      <c r="BU81" s="730"/>
      <c r="BV81" s="730"/>
      <c r="BW81" s="730"/>
      <c r="BX81" s="736"/>
      <c r="BY81" s="736"/>
      <c r="BZ81" s="730"/>
      <c r="CA81" s="730"/>
      <c r="CB81" s="730"/>
      <c r="CC81" s="730"/>
      <c r="CD81" s="730"/>
      <c r="CE81" s="730"/>
      <c r="CF81" s="730"/>
      <c r="CG81" s="730"/>
      <c r="CH81" s="730"/>
      <c r="CI81" s="730"/>
      <c r="CJ81" s="730"/>
      <c r="CK81" s="730"/>
      <c r="CL81" s="730"/>
      <c r="CM81" s="730"/>
      <c r="CN81" s="730"/>
      <c r="CO81" s="731"/>
      <c r="CP81" s="730"/>
      <c r="CQ81" s="730"/>
      <c r="CR81" s="730"/>
      <c r="CS81" s="730"/>
      <c r="CT81" s="730"/>
      <c r="CU81" s="730"/>
      <c r="CV81" s="730"/>
      <c r="CW81" s="730"/>
      <c r="CX81" s="730"/>
      <c r="CY81" s="730"/>
      <c r="CZ81" s="732"/>
      <c r="DA81" s="732"/>
      <c r="DB81" s="733"/>
      <c r="DC81" s="732"/>
      <c r="DD81" s="732"/>
      <c r="DE81" s="734"/>
      <c r="DF81" s="734"/>
      <c r="DG81" s="734"/>
      <c r="DH81" s="730"/>
      <c r="DI81" s="730"/>
      <c r="DJ81" s="730"/>
      <c r="DK81" s="730"/>
      <c r="DL81" s="730"/>
      <c r="DM81" s="730"/>
      <c r="DN81" s="730"/>
      <c r="DO81" s="737"/>
      <c r="DP81" s="633"/>
      <c r="DQ81" s="634"/>
    </row>
    <row r="82" spans="2:121" ht="6.6" customHeight="1" thickBot="1" x14ac:dyDescent="0.2">
      <c r="B82" s="738"/>
      <c r="C82" s="630"/>
      <c r="D82" s="630"/>
      <c r="E82" s="630"/>
      <c r="F82" s="630"/>
      <c r="G82" s="630"/>
      <c r="H82" s="630"/>
      <c r="I82" s="630"/>
      <c r="J82" s="630"/>
      <c r="K82" s="630"/>
      <c r="L82" s="630"/>
      <c r="M82" s="630"/>
      <c r="N82" s="630"/>
      <c r="O82" s="630"/>
      <c r="P82" s="630"/>
      <c r="Q82" s="630"/>
      <c r="R82" s="630"/>
      <c r="S82" s="630"/>
      <c r="T82" s="630"/>
      <c r="U82" s="630"/>
      <c r="V82" s="630"/>
      <c r="W82" s="630"/>
      <c r="X82" s="630"/>
      <c r="Y82" s="630"/>
      <c r="Z82" s="631"/>
      <c r="AA82" s="630"/>
      <c r="AB82" s="630"/>
      <c r="AC82" s="630"/>
      <c r="AD82" s="630"/>
      <c r="AE82" s="630"/>
      <c r="AF82" s="722"/>
      <c r="AG82" s="630"/>
      <c r="AH82" s="630"/>
      <c r="AI82" s="630"/>
      <c r="AJ82" s="630"/>
      <c r="AK82" s="632"/>
      <c r="AL82" s="630"/>
      <c r="AM82" s="630"/>
      <c r="AN82" s="630"/>
      <c r="AO82" s="630"/>
      <c r="AP82" s="630"/>
      <c r="AQ82" s="630"/>
      <c r="AR82" s="630"/>
      <c r="AS82" s="630"/>
      <c r="AT82" s="630"/>
      <c r="AU82" s="630"/>
      <c r="AV82" s="630"/>
      <c r="AW82" s="630"/>
      <c r="AX82" s="630"/>
      <c r="AY82" s="630"/>
      <c r="AZ82" s="630"/>
      <c r="BA82" s="630"/>
      <c r="BB82" s="722"/>
      <c r="BC82" s="630"/>
      <c r="BD82" s="630"/>
      <c r="BE82" s="630"/>
      <c r="BF82" s="630"/>
      <c r="BG82" s="632"/>
      <c r="BH82" s="630"/>
      <c r="BI82" s="630"/>
      <c r="BJ82" s="630"/>
      <c r="BK82" s="630"/>
      <c r="BL82" s="630"/>
      <c r="BM82" s="630"/>
      <c r="BN82" s="630"/>
      <c r="BO82" s="630"/>
      <c r="BP82" s="630"/>
      <c r="BQ82" s="630"/>
      <c r="BR82" s="630"/>
      <c r="BS82" s="630"/>
      <c r="BT82" s="630"/>
      <c r="BU82" s="630"/>
      <c r="BV82" s="630"/>
      <c r="BW82" s="630"/>
      <c r="BX82" s="630"/>
      <c r="BY82" s="630"/>
      <c r="BZ82" s="630"/>
      <c r="CA82" s="630"/>
      <c r="CB82" s="630"/>
      <c r="CC82" s="630"/>
      <c r="CD82" s="630"/>
      <c r="CE82" s="630"/>
      <c r="CF82" s="630"/>
      <c r="CG82" s="630"/>
      <c r="CH82" s="630"/>
      <c r="CI82" s="630"/>
      <c r="CJ82" s="630"/>
      <c r="CK82" s="630"/>
      <c r="CL82" s="630"/>
      <c r="CM82" s="630"/>
      <c r="CN82" s="630"/>
      <c r="CO82" s="630"/>
      <c r="CP82" s="630"/>
      <c r="CQ82" s="630"/>
      <c r="CR82" s="630"/>
      <c r="CS82" s="630"/>
      <c r="CT82" s="630"/>
      <c r="CU82" s="630"/>
      <c r="CV82" s="630"/>
      <c r="CW82" s="630"/>
      <c r="CX82" s="630"/>
      <c r="CY82" s="630"/>
      <c r="CZ82" s="630"/>
      <c r="DA82" s="630"/>
      <c r="DB82" s="630"/>
      <c r="DC82" s="630"/>
      <c r="DD82" s="630"/>
      <c r="DE82" s="723"/>
      <c r="DF82" s="630"/>
      <c r="DG82" s="630"/>
      <c r="DH82" s="630"/>
      <c r="DI82" s="630"/>
      <c r="DJ82" s="630"/>
      <c r="DK82" s="739"/>
      <c r="DL82" s="739"/>
      <c r="DM82" s="630"/>
      <c r="DN82" s="630"/>
      <c r="DO82" s="630"/>
      <c r="DP82" s="633"/>
      <c r="DQ82" s="740"/>
    </row>
    <row r="83" spans="2:121" s="723" customFormat="1" ht="12" customHeight="1" x14ac:dyDescent="0.15">
      <c r="B83" s="741"/>
      <c r="C83" s="742"/>
      <c r="D83" s="743"/>
      <c r="E83" s="743"/>
      <c r="F83" s="742"/>
      <c r="G83" s="742"/>
      <c r="H83" s="742"/>
      <c r="I83" s="742"/>
      <c r="J83" s="742"/>
      <c r="K83" s="744"/>
      <c r="L83" s="742"/>
      <c r="M83" s="742"/>
      <c r="N83" s="742"/>
      <c r="O83" s="742"/>
      <c r="P83" s="742"/>
      <c r="Q83" s="742"/>
      <c r="R83" s="745"/>
      <c r="S83" s="742"/>
      <c r="T83" s="742"/>
      <c r="U83" s="742"/>
      <c r="V83" s="742"/>
      <c r="W83" s="742"/>
      <c r="X83" s="742"/>
      <c r="Y83" s="742"/>
      <c r="Z83" s="742"/>
      <c r="AA83" s="742"/>
      <c r="AB83" s="742"/>
      <c r="AC83" s="742"/>
      <c r="AD83" s="742"/>
      <c r="AE83" s="742"/>
      <c r="AF83" s="746"/>
      <c r="AG83" s="742"/>
      <c r="AH83" s="742"/>
      <c r="AI83" s="742"/>
      <c r="AJ83" s="742"/>
      <c r="AK83" s="742"/>
      <c r="AL83" s="742"/>
      <c r="AM83" s="742"/>
      <c r="AN83" s="742"/>
      <c r="AO83" s="742"/>
      <c r="AP83" s="742"/>
      <c r="AQ83" s="742"/>
      <c r="AR83" s="744"/>
      <c r="AS83" s="744"/>
      <c r="AT83" s="744"/>
      <c r="AU83" s="744"/>
      <c r="AV83" s="744"/>
      <c r="AW83" s="744"/>
      <c r="AX83" s="744"/>
      <c r="AY83" s="744"/>
      <c r="AZ83" s="744"/>
      <c r="BA83" s="744"/>
      <c r="BB83" s="744"/>
      <c r="BC83" s="744"/>
      <c r="BD83" s="744"/>
      <c r="BE83" s="744"/>
      <c r="BF83" s="744"/>
      <c r="BG83" s="744"/>
      <c r="BH83" s="747"/>
      <c r="BI83" s="748"/>
      <c r="BJ83" s="748"/>
      <c r="BK83" s="748"/>
      <c r="BL83" s="748" t="s">
        <v>565</v>
      </c>
      <c r="BM83" s="748"/>
      <c r="BN83" s="748"/>
      <c r="BO83" s="749"/>
      <c r="BP83" s="750"/>
      <c r="BQ83" s="751"/>
      <c r="BR83" s="751"/>
      <c r="BS83" s="751"/>
      <c r="BT83" s="751"/>
      <c r="BU83" s="751"/>
      <c r="BV83" s="751"/>
      <c r="BW83" s="751"/>
      <c r="BX83" s="751"/>
      <c r="BY83" s="751"/>
      <c r="BZ83" s="751"/>
      <c r="CA83" s="751"/>
      <c r="CB83" s="751"/>
      <c r="CC83" s="752"/>
      <c r="CD83" s="753" t="s">
        <v>566</v>
      </c>
      <c r="CE83" s="753"/>
      <c r="CF83" s="753"/>
      <c r="CG83" s="753"/>
      <c r="CH83" s="753"/>
      <c r="CI83" s="753"/>
      <c r="CJ83" s="754"/>
      <c r="CK83" s="753" t="s">
        <v>567</v>
      </c>
      <c r="CL83" s="753"/>
      <c r="CM83" s="753"/>
      <c r="CN83" s="753"/>
      <c r="CO83" s="753"/>
      <c r="CP83" s="753"/>
      <c r="CQ83" s="755"/>
      <c r="CR83" s="756"/>
      <c r="CS83" s="756"/>
      <c r="CT83" s="756"/>
      <c r="CU83" s="756"/>
      <c r="CV83" s="756"/>
      <c r="CW83" s="757"/>
      <c r="CX83" s="758"/>
      <c r="CY83" s="759"/>
      <c r="CZ83" s="759"/>
      <c r="DA83" s="759"/>
      <c r="DB83" s="759"/>
      <c r="DC83" s="759"/>
      <c r="DD83" s="759"/>
      <c r="DE83" s="759"/>
      <c r="DF83" s="759"/>
      <c r="DG83" s="759"/>
      <c r="DH83" s="759"/>
      <c r="DI83" s="759"/>
      <c r="DJ83" s="759"/>
      <c r="DK83" s="759"/>
      <c r="DL83" s="760"/>
      <c r="DM83" s="761" t="s">
        <v>568</v>
      </c>
      <c r="DN83" s="761"/>
      <c r="DO83" s="762"/>
      <c r="DP83" s="763"/>
    </row>
    <row r="84" spans="2:121" s="723" customFormat="1" ht="13.5" customHeight="1" x14ac:dyDescent="0.15">
      <c r="B84" s="764"/>
      <c r="C84" s="630"/>
      <c r="D84" s="765"/>
      <c r="E84" s="765"/>
      <c r="F84" s="630"/>
      <c r="G84" s="630"/>
      <c r="H84" s="630"/>
      <c r="I84" s="630"/>
      <c r="J84" s="630"/>
      <c r="K84" s="766"/>
      <c r="L84" s="630"/>
      <c r="M84" s="630"/>
      <c r="N84" s="630"/>
      <c r="O84" s="630"/>
      <c r="P84" s="630"/>
      <c r="Q84" s="630"/>
      <c r="R84" s="632"/>
      <c r="S84" s="630"/>
      <c r="T84" s="630"/>
      <c r="U84" s="630"/>
      <c r="V84" s="630"/>
      <c r="W84" s="630"/>
      <c r="X84" s="630"/>
      <c r="Y84" s="630"/>
      <c r="Z84" s="630"/>
      <c r="AA84" s="630"/>
      <c r="AB84" s="630"/>
      <c r="AC84" s="630"/>
      <c r="AD84" s="630"/>
      <c r="AE84" s="630"/>
      <c r="AF84" s="767"/>
      <c r="AG84" s="630"/>
      <c r="AH84" s="765"/>
      <c r="AI84" s="765"/>
      <c r="AJ84" s="630"/>
      <c r="BG84" s="768"/>
      <c r="BH84" s="769">
        <v>2025</v>
      </c>
      <c r="BI84" s="770"/>
      <c r="BJ84" s="770"/>
      <c r="BK84" s="771" t="s">
        <v>569</v>
      </c>
      <c r="BL84" s="771">
        <v>1</v>
      </c>
      <c r="BM84" s="771" t="s">
        <v>569</v>
      </c>
      <c r="BN84" s="770">
        <v>31</v>
      </c>
      <c r="BO84" s="772"/>
      <c r="BP84" s="773"/>
      <c r="BQ84" s="774"/>
      <c r="BR84" s="774"/>
      <c r="BS84" s="774"/>
      <c r="BT84" s="774"/>
      <c r="BU84" s="774"/>
      <c r="BV84" s="774"/>
      <c r="BW84" s="774"/>
      <c r="BX84" s="774"/>
      <c r="BY84" s="774"/>
      <c r="BZ84" s="774"/>
      <c r="CA84" s="774"/>
      <c r="CB84" s="774"/>
      <c r="CC84" s="775"/>
      <c r="CD84" s="776"/>
      <c r="CE84" s="776"/>
      <c r="CF84" s="776"/>
      <c r="CG84" s="776"/>
      <c r="CH84" s="776"/>
      <c r="CI84" s="776"/>
      <c r="CJ84" s="777"/>
      <c r="CK84" s="776"/>
      <c r="CL84" s="776"/>
      <c r="CM84" s="776"/>
      <c r="CN84" s="776"/>
      <c r="CO84" s="776"/>
      <c r="CP84" s="776"/>
      <c r="CQ84" s="778"/>
      <c r="CR84" s="779"/>
      <c r="CS84" s="779"/>
      <c r="CT84" s="779"/>
      <c r="CU84" s="779"/>
      <c r="CV84" s="779"/>
      <c r="CW84" s="780"/>
      <c r="CX84" s="781"/>
      <c r="CY84" s="782"/>
      <c r="CZ84" s="782"/>
      <c r="DA84" s="782"/>
      <c r="DB84" s="782"/>
      <c r="DC84" s="782"/>
      <c r="DD84" s="782"/>
      <c r="DE84" s="782"/>
      <c r="DF84" s="782"/>
      <c r="DG84" s="782"/>
      <c r="DH84" s="782"/>
      <c r="DI84" s="782"/>
      <c r="DJ84" s="782"/>
      <c r="DK84" s="782"/>
      <c r="DL84" s="783"/>
      <c r="DM84" s="784"/>
      <c r="DN84" s="784"/>
      <c r="DO84" s="785"/>
      <c r="DP84" s="786"/>
    </row>
    <row r="85" spans="2:121" s="723" customFormat="1" ht="12" customHeight="1" x14ac:dyDescent="0.15">
      <c r="B85" s="787"/>
      <c r="C85" s="788"/>
      <c r="D85" s="789"/>
      <c r="E85" s="789"/>
      <c r="F85" s="788"/>
      <c r="G85" s="788"/>
      <c r="H85" s="788"/>
      <c r="I85" s="788"/>
      <c r="J85" s="788"/>
      <c r="K85" s="790"/>
      <c r="L85" s="788"/>
      <c r="M85" s="788"/>
      <c r="N85" s="788"/>
      <c r="O85" s="788"/>
      <c r="P85" s="788"/>
      <c r="Q85" s="788"/>
      <c r="R85" s="791"/>
      <c r="S85" s="788"/>
      <c r="T85" s="788"/>
      <c r="U85" s="788"/>
      <c r="V85" s="788"/>
      <c r="W85" s="788"/>
      <c r="X85" s="788"/>
      <c r="Y85" s="788"/>
      <c r="Z85" s="788"/>
      <c r="AA85" s="791"/>
      <c r="AB85" s="788"/>
      <c r="AC85" s="788"/>
      <c r="AD85" s="788"/>
      <c r="AE85" s="788"/>
      <c r="AF85" s="792"/>
      <c r="AG85" s="793"/>
      <c r="AH85" s="793"/>
      <c r="AI85" s="793"/>
      <c r="AJ85" s="793"/>
      <c r="AK85" s="793"/>
      <c r="AL85" s="793"/>
      <c r="AM85" s="793"/>
      <c r="AN85" s="793"/>
      <c r="AO85" s="793"/>
      <c r="AP85" s="793"/>
      <c r="AQ85" s="793"/>
      <c r="AR85" s="793"/>
      <c r="AS85" s="793"/>
      <c r="AT85" s="793"/>
      <c r="AU85" s="793"/>
      <c r="AV85" s="793"/>
      <c r="AW85" s="793"/>
      <c r="AX85" s="793"/>
      <c r="AY85" s="793"/>
      <c r="AZ85" s="793"/>
      <c r="BA85" s="793"/>
      <c r="BB85" s="793"/>
      <c r="BC85" s="793"/>
      <c r="BD85" s="793"/>
      <c r="BE85" s="793"/>
      <c r="BF85" s="793"/>
      <c r="BG85" s="788"/>
      <c r="BH85" s="794"/>
      <c r="BI85" s="795"/>
      <c r="BJ85" s="795"/>
      <c r="BK85" s="796"/>
      <c r="BL85" s="796"/>
      <c r="BM85" s="796"/>
      <c r="BN85" s="796"/>
      <c r="BO85" s="797"/>
      <c r="BP85" s="773"/>
      <c r="BQ85" s="774"/>
      <c r="BR85" s="774"/>
      <c r="BS85" s="774"/>
      <c r="BT85" s="774"/>
      <c r="BU85" s="774"/>
      <c r="BV85" s="774"/>
      <c r="BW85" s="774"/>
      <c r="BX85" s="774"/>
      <c r="BY85" s="774"/>
      <c r="BZ85" s="774"/>
      <c r="CA85" s="774"/>
      <c r="CB85" s="774"/>
      <c r="CC85" s="775"/>
      <c r="CD85" s="798" t="s">
        <v>567</v>
      </c>
      <c r="CE85" s="798"/>
      <c r="CF85" s="798"/>
      <c r="CG85" s="798"/>
      <c r="CH85" s="798"/>
      <c r="CI85" s="798"/>
      <c r="CJ85" s="799"/>
      <c r="CK85" s="800" t="s">
        <v>570</v>
      </c>
      <c r="CL85" s="800"/>
      <c r="CM85" s="800"/>
      <c r="CN85" s="800"/>
      <c r="CO85" s="800"/>
      <c r="CP85" s="800"/>
      <c r="CQ85" s="778"/>
      <c r="CR85" s="779"/>
      <c r="CS85" s="779"/>
      <c r="CT85" s="779"/>
      <c r="CU85" s="779"/>
      <c r="CV85" s="779"/>
      <c r="CW85" s="780"/>
      <c r="CX85" s="781"/>
      <c r="CY85" s="782"/>
      <c r="CZ85" s="782"/>
      <c r="DA85" s="782"/>
      <c r="DB85" s="782"/>
      <c r="DC85" s="782"/>
      <c r="DD85" s="782"/>
      <c r="DE85" s="782"/>
      <c r="DF85" s="782"/>
      <c r="DG85" s="782"/>
      <c r="DH85" s="782"/>
      <c r="DI85" s="782"/>
      <c r="DJ85" s="782"/>
      <c r="DK85" s="782"/>
      <c r="DL85" s="783"/>
      <c r="DM85" s="801" t="s">
        <v>571</v>
      </c>
      <c r="DN85" s="802"/>
      <c r="DO85" s="803"/>
      <c r="DP85" s="804"/>
    </row>
    <row r="86" spans="2:121" s="723" customFormat="1" ht="13.5" customHeight="1" x14ac:dyDescent="0.15">
      <c r="B86" s="805"/>
      <c r="C86" s="806"/>
      <c r="D86" s="807"/>
      <c r="E86" s="807"/>
      <c r="F86" s="806"/>
      <c r="G86" s="806"/>
      <c r="H86" s="806"/>
      <c r="I86" s="806"/>
      <c r="J86" s="806"/>
      <c r="K86" s="768"/>
      <c r="L86" s="806"/>
      <c r="M86" s="806"/>
      <c r="N86" s="806"/>
      <c r="O86" s="806"/>
      <c r="P86" s="806"/>
      <c r="Q86" s="806"/>
      <c r="R86" s="806"/>
      <c r="S86" s="806"/>
      <c r="T86" s="806"/>
      <c r="U86" s="806"/>
      <c r="V86" s="806"/>
      <c r="W86" s="806"/>
      <c r="X86" s="806"/>
      <c r="Y86" s="806"/>
      <c r="Z86" s="806"/>
      <c r="AA86" s="806"/>
      <c r="AB86" s="806"/>
      <c r="AC86" s="806"/>
      <c r="AD86" s="806"/>
      <c r="AE86" s="806"/>
      <c r="AF86" s="808"/>
      <c r="AG86" s="809"/>
      <c r="AH86" s="809"/>
      <c r="AI86" s="809"/>
      <c r="AJ86" s="809"/>
      <c r="AK86" s="809"/>
      <c r="AL86" s="809"/>
      <c r="AM86" s="809"/>
      <c r="AN86" s="810"/>
      <c r="AO86" s="809"/>
      <c r="AP86" s="809"/>
      <c r="AQ86" s="809"/>
      <c r="AR86" s="809"/>
      <c r="AS86" s="809"/>
      <c r="AT86" s="809"/>
      <c r="AU86" s="809"/>
      <c r="AV86" s="809"/>
      <c r="AW86" s="809"/>
      <c r="AX86" s="809"/>
      <c r="AY86" s="809"/>
      <c r="AZ86" s="809"/>
      <c r="BA86" s="809"/>
      <c r="BB86" s="809"/>
      <c r="BC86" s="809"/>
      <c r="BD86" s="809"/>
      <c r="BE86" s="809"/>
      <c r="BF86" s="809"/>
      <c r="BG86" s="806"/>
      <c r="BH86" s="811"/>
      <c r="BI86" s="812"/>
      <c r="BJ86" s="812"/>
      <c r="BK86" s="771" t="s">
        <v>569</v>
      </c>
      <c r="BL86" s="771"/>
      <c r="BM86" s="771" t="s">
        <v>569</v>
      </c>
      <c r="BN86" s="771"/>
      <c r="BO86" s="813"/>
      <c r="BP86" s="773"/>
      <c r="BQ86" s="774"/>
      <c r="BR86" s="774"/>
      <c r="BS86" s="774"/>
      <c r="BT86" s="774"/>
      <c r="BU86" s="774"/>
      <c r="BV86" s="774"/>
      <c r="BW86" s="774"/>
      <c r="BX86" s="774"/>
      <c r="BY86" s="774"/>
      <c r="BZ86" s="774"/>
      <c r="CA86" s="774"/>
      <c r="CB86" s="774"/>
      <c r="CC86" s="775"/>
      <c r="CD86" s="814"/>
      <c r="CE86" s="814"/>
      <c r="CF86" s="814"/>
      <c r="CG86" s="814"/>
      <c r="CH86" s="814"/>
      <c r="CI86" s="814"/>
      <c r="CJ86" s="815"/>
      <c r="CK86" s="816"/>
      <c r="CL86" s="816"/>
      <c r="CM86" s="816"/>
      <c r="CN86" s="816"/>
      <c r="CO86" s="816"/>
      <c r="CP86" s="816"/>
      <c r="CQ86" s="817"/>
      <c r="CR86" s="818"/>
      <c r="CS86" s="818"/>
      <c r="CT86" s="818"/>
      <c r="CU86" s="818"/>
      <c r="CV86" s="818"/>
      <c r="CW86" s="819"/>
      <c r="CX86" s="820"/>
      <c r="CY86" s="821"/>
      <c r="CZ86" s="821"/>
      <c r="DA86" s="821"/>
      <c r="DB86" s="821"/>
      <c r="DC86" s="821"/>
      <c r="DD86" s="821"/>
      <c r="DE86" s="821"/>
      <c r="DF86" s="821"/>
      <c r="DG86" s="821"/>
      <c r="DH86" s="821"/>
      <c r="DI86" s="821"/>
      <c r="DJ86" s="821"/>
      <c r="DK86" s="821"/>
      <c r="DL86" s="822"/>
      <c r="DM86" s="802"/>
      <c r="DN86" s="802"/>
      <c r="DO86" s="803"/>
      <c r="DP86" s="804"/>
    </row>
    <row r="87" spans="2:121" s="723" customFormat="1" ht="25.5" customHeight="1" thickBot="1" x14ac:dyDescent="0.2">
      <c r="B87" s="823"/>
      <c r="C87" s="824"/>
      <c r="D87" s="825"/>
      <c r="E87" s="825"/>
      <c r="F87" s="824"/>
      <c r="G87" s="824"/>
      <c r="H87" s="824"/>
      <c r="I87" s="824"/>
      <c r="J87" s="824"/>
      <c r="K87" s="826"/>
      <c r="L87" s="824"/>
      <c r="M87" s="824"/>
      <c r="N87" s="827"/>
      <c r="O87" s="824"/>
      <c r="P87" s="824"/>
      <c r="Q87" s="827"/>
      <c r="R87" s="824"/>
      <c r="S87" s="824"/>
      <c r="T87" s="827"/>
      <c r="U87" s="824"/>
      <c r="V87" s="824"/>
      <c r="W87" s="824"/>
      <c r="X87" s="824"/>
      <c r="Y87" s="827"/>
      <c r="Z87" s="824"/>
      <c r="AA87" s="824"/>
      <c r="AB87" s="824"/>
      <c r="AC87" s="824"/>
      <c r="AD87" s="824"/>
      <c r="AE87" s="824"/>
      <c r="AF87" s="828"/>
      <c r="AG87" s="829"/>
      <c r="AH87" s="829"/>
      <c r="AI87" s="829"/>
      <c r="AJ87" s="829"/>
      <c r="AK87" s="829"/>
      <c r="AL87" s="829"/>
      <c r="AM87" s="829"/>
      <c r="AN87" s="829"/>
      <c r="AO87" s="829"/>
      <c r="AP87" s="829"/>
      <c r="AQ87" s="829"/>
      <c r="AR87" s="829"/>
      <c r="AS87" s="829"/>
      <c r="AT87" s="829"/>
      <c r="AU87" s="829"/>
      <c r="AV87" s="829"/>
      <c r="AW87" s="829"/>
      <c r="AX87" s="829"/>
      <c r="AY87" s="829"/>
      <c r="AZ87" s="829"/>
      <c r="BA87" s="829"/>
      <c r="BB87" s="829"/>
      <c r="BC87" s="829"/>
      <c r="BD87" s="829"/>
      <c r="BE87" s="829"/>
      <c r="BF87" s="829"/>
      <c r="BG87" s="829"/>
      <c r="BH87" s="830"/>
      <c r="BI87" s="831"/>
      <c r="BJ87" s="831"/>
      <c r="BK87" s="832"/>
      <c r="BL87" s="833"/>
      <c r="BM87" s="833"/>
      <c r="BN87" s="833">
        <v>2037</v>
      </c>
      <c r="BO87" s="834"/>
      <c r="BP87" s="835"/>
      <c r="BQ87" s="836"/>
      <c r="BR87" s="836"/>
      <c r="BS87" s="836"/>
      <c r="BT87" s="836"/>
      <c r="BU87" s="836"/>
      <c r="BV87" s="836"/>
      <c r="BW87" s="836"/>
      <c r="BX87" s="836"/>
      <c r="BY87" s="836"/>
      <c r="BZ87" s="836"/>
      <c r="CA87" s="836"/>
      <c r="CB87" s="836"/>
      <c r="CC87" s="837"/>
      <c r="CD87" s="838"/>
      <c r="CE87" s="839"/>
      <c r="CF87" s="839"/>
      <c r="CG87" s="839"/>
      <c r="CH87" s="839"/>
      <c r="CI87" s="839"/>
      <c r="CJ87" s="839"/>
      <c r="CK87" s="839"/>
      <c r="CL87" s="839"/>
      <c r="CM87" s="839"/>
      <c r="CN87" s="839"/>
      <c r="CO87" s="839"/>
      <c r="CP87" s="840"/>
      <c r="CQ87" s="841" t="s">
        <v>572</v>
      </c>
      <c r="CR87" s="842"/>
      <c r="CS87" s="842"/>
      <c r="CT87" s="842"/>
      <c r="CU87" s="842"/>
      <c r="CV87" s="842"/>
      <c r="CW87" s="842"/>
      <c r="CX87" s="842"/>
      <c r="CY87" s="842"/>
      <c r="CZ87" s="842"/>
      <c r="DA87" s="842"/>
      <c r="DB87" s="842"/>
      <c r="DC87" s="842"/>
      <c r="DD87" s="842"/>
      <c r="DE87" s="842"/>
      <c r="DF87" s="842"/>
      <c r="DG87" s="842"/>
      <c r="DH87" s="843"/>
      <c r="DI87" s="844" t="s">
        <v>573</v>
      </c>
      <c r="DJ87" s="845"/>
      <c r="DK87" s="845"/>
      <c r="DL87" s="846"/>
      <c r="DM87" s="847"/>
      <c r="DN87" s="848">
        <v>12</v>
      </c>
      <c r="DO87" s="848"/>
      <c r="DP87" s="849"/>
    </row>
    <row r="90" spans="2:121" ht="32.25" x14ac:dyDescent="0.15">
      <c r="F90" s="850" t="s">
        <v>574</v>
      </c>
    </row>
    <row r="92" spans="2:121" ht="27" customHeight="1" x14ac:dyDescent="0.15">
      <c r="F92" s="850" t="s">
        <v>575</v>
      </c>
    </row>
  </sheetData>
  <mergeCells count="894">
    <mergeCell ref="DM83:DN84"/>
    <mergeCell ref="DM85:DN86"/>
    <mergeCell ref="BL87:BM87"/>
    <mergeCell ref="BN87:BO87"/>
    <mergeCell ref="CQ87:DH87"/>
    <mergeCell ref="DI87:DL87"/>
    <mergeCell ref="DN87:DP87"/>
    <mergeCell ref="BV71:BW71"/>
    <mergeCell ref="DA71:DB71"/>
    <mergeCell ref="DC71:DE71"/>
    <mergeCell ref="DF71:DG71"/>
    <mergeCell ref="BP83:CC87"/>
    <mergeCell ref="CQ83:CW86"/>
    <mergeCell ref="CX83:DL86"/>
    <mergeCell ref="BV70:BW70"/>
    <mergeCell ref="DA70:DB70"/>
    <mergeCell ref="DC70:DE70"/>
    <mergeCell ref="DF70:DG70"/>
    <mergeCell ref="C71:F71"/>
    <mergeCell ref="O71:P71"/>
    <mergeCell ref="AT71:AU71"/>
    <mergeCell ref="AV71:AX71"/>
    <mergeCell ref="AY71:AZ71"/>
    <mergeCell ref="BJ71:BM71"/>
    <mergeCell ref="CP69:CQ69"/>
    <mergeCell ref="DA69:DB69"/>
    <mergeCell ref="DC69:DE69"/>
    <mergeCell ref="DF69:DG69"/>
    <mergeCell ref="C70:F70"/>
    <mergeCell ref="O70:P70"/>
    <mergeCell ref="AT70:AU70"/>
    <mergeCell ref="AV70:AX70"/>
    <mergeCell ref="AY70:AZ70"/>
    <mergeCell ref="BJ70:BM70"/>
    <mergeCell ref="AY69:AZ69"/>
    <mergeCell ref="BJ69:BM69"/>
    <mergeCell ref="BV69:BW69"/>
    <mergeCell ref="CG69:CH69"/>
    <mergeCell ref="CJ69:CK69"/>
    <mergeCell ref="CM69:CN69"/>
    <mergeCell ref="DC68:DE68"/>
    <mergeCell ref="DF68:DG68"/>
    <mergeCell ref="C69:F69"/>
    <mergeCell ref="O69:P69"/>
    <mergeCell ref="Z69:AA69"/>
    <mergeCell ref="AC69:AD69"/>
    <mergeCell ref="AF69:AG69"/>
    <mergeCell ref="AI69:AJ69"/>
    <mergeCell ref="AT69:AU69"/>
    <mergeCell ref="AV69:AX69"/>
    <mergeCell ref="AY68:AZ68"/>
    <mergeCell ref="BJ68:BM68"/>
    <mergeCell ref="BV68:BW68"/>
    <mergeCell ref="CG68:CH68"/>
    <mergeCell ref="CQ68:CR68"/>
    <mergeCell ref="DA68:DB68"/>
    <mergeCell ref="C68:F68"/>
    <mergeCell ref="O68:P68"/>
    <mergeCell ref="Z68:AA68"/>
    <mergeCell ref="AJ68:AK68"/>
    <mergeCell ref="AT68:AU68"/>
    <mergeCell ref="AV68:AX68"/>
    <mergeCell ref="BJ67:BM67"/>
    <mergeCell ref="CG67:CH67"/>
    <mergeCell ref="CQ67:CR67"/>
    <mergeCell ref="DA67:DB67"/>
    <mergeCell ref="DC67:DE67"/>
    <mergeCell ref="DF67:DG67"/>
    <mergeCell ref="DC66:DE66"/>
    <mergeCell ref="DF66:DG66"/>
    <mergeCell ref="C67:F67"/>
    <mergeCell ref="Z67:AA67"/>
    <mergeCell ref="AC67:AD67"/>
    <mergeCell ref="AF67:AG67"/>
    <mergeCell ref="AI67:AJ67"/>
    <mergeCell ref="AT67:AU67"/>
    <mergeCell ref="AV67:AX67"/>
    <mergeCell ref="AY67:AZ67"/>
    <mergeCell ref="AY66:AZ66"/>
    <mergeCell ref="BJ66:BM66"/>
    <mergeCell ref="BV66:BW66"/>
    <mergeCell ref="CG66:CH66"/>
    <mergeCell ref="CQ66:CR66"/>
    <mergeCell ref="DA66:DB66"/>
    <mergeCell ref="C66:F66"/>
    <mergeCell ref="O66:P66"/>
    <mergeCell ref="Z66:AA66"/>
    <mergeCell ref="AJ66:AK66"/>
    <mergeCell ref="AT66:AU66"/>
    <mergeCell ref="AV66:AX66"/>
    <mergeCell ref="BV65:BW65"/>
    <mergeCell ref="CG65:CK65"/>
    <mergeCell ref="CM65:CP65"/>
    <mergeCell ref="DA65:DB65"/>
    <mergeCell ref="DC65:DE65"/>
    <mergeCell ref="DF65:DG65"/>
    <mergeCell ref="DC64:DE64"/>
    <mergeCell ref="DF64:DG64"/>
    <mergeCell ref="C65:F65"/>
    <mergeCell ref="O65:P65"/>
    <mergeCell ref="Z65:AD65"/>
    <mergeCell ref="AF65:AI65"/>
    <mergeCell ref="AT65:AU65"/>
    <mergeCell ref="AV65:AX65"/>
    <mergeCell ref="AY65:AZ65"/>
    <mergeCell ref="BJ65:BM65"/>
    <mergeCell ref="AY64:AZ64"/>
    <mergeCell ref="BJ64:BM64"/>
    <mergeCell ref="BV64:BW64"/>
    <mergeCell ref="CG64:CH64"/>
    <mergeCell ref="CQ64:CR64"/>
    <mergeCell ref="DA64:DB64"/>
    <mergeCell ref="C64:F64"/>
    <mergeCell ref="O64:P64"/>
    <mergeCell ref="Z64:AA64"/>
    <mergeCell ref="AJ64:AK64"/>
    <mergeCell ref="AT64:AU64"/>
    <mergeCell ref="AV64:AX64"/>
    <mergeCell ref="CJ63:CK63"/>
    <mergeCell ref="CM63:CN63"/>
    <mergeCell ref="CP63:CQ63"/>
    <mergeCell ref="DA63:DB63"/>
    <mergeCell ref="DC63:DE63"/>
    <mergeCell ref="DF63:DG63"/>
    <mergeCell ref="AT63:AU63"/>
    <mergeCell ref="AV63:AX63"/>
    <mergeCell ref="AY63:AZ63"/>
    <mergeCell ref="BJ63:BM63"/>
    <mergeCell ref="BV63:BW63"/>
    <mergeCell ref="CG63:CH63"/>
    <mergeCell ref="C63:F63"/>
    <mergeCell ref="O63:P63"/>
    <mergeCell ref="Z63:AA63"/>
    <mergeCell ref="AC63:AD63"/>
    <mergeCell ref="AF63:AG63"/>
    <mergeCell ref="AI63:AJ63"/>
    <mergeCell ref="BJ62:BM62"/>
    <mergeCell ref="BV62:BW62"/>
    <mergeCell ref="CQ62:CU62"/>
    <mergeCell ref="DA62:DB62"/>
    <mergeCell ref="DC62:DE62"/>
    <mergeCell ref="DF62:DG62"/>
    <mergeCell ref="BJ61:BM61"/>
    <mergeCell ref="DA61:DB61"/>
    <mergeCell ref="DC61:DE61"/>
    <mergeCell ref="DF61:DG61"/>
    <mergeCell ref="C62:F62"/>
    <mergeCell ref="O62:P62"/>
    <mergeCell ref="AJ62:AN62"/>
    <mergeCell ref="AT62:AU62"/>
    <mergeCell ref="AV62:AX62"/>
    <mergeCell ref="AY62:AZ62"/>
    <mergeCell ref="CL60:CM60"/>
    <mergeCell ref="CT60:CU60"/>
    <mergeCell ref="DA60:DB60"/>
    <mergeCell ref="DC60:DE60"/>
    <mergeCell ref="DF60:DG60"/>
    <mergeCell ref="C61:F61"/>
    <mergeCell ref="O61:P61"/>
    <mergeCell ref="AT61:AU61"/>
    <mergeCell ref="AV61:AX61"/>
    <mergeCell ref="AY61:AZ61"/>
    <mergeCell ref="DF59:DG59"/>
    <mergeCell ref="C60:F60"/>
    <mergeCell ref="O60:P60"/>
    <mergeCell ref="AE60:AF60"/>
    <mergeCell ref="AM60:AN60"/>
    <mergeCell ref="AT60:AU60"/>
    <mergeCell ref="AV60:AX60"/>
    <mergeCell ref="AY60:AZ60"/>
    <mergeCell ref="BJ60:BM60"/>
    <mergeCell ref="BV60:BW60"/>
    <mergeCell ref="BJ59:BM59"/>
    <mergeCell ref="BV59:BW59"/>
    <mergeCell ref="CI59:CJ59"/>
    <mergeCell ref="CQ59:CR59"/>
    <mergeCell ref="DA59:DB59"/>
    <mergeCell ref="DC59:DE59"/>
    <mergeCell ref="DA58:DB58"/>
    <mergeCell ref="DC58:DE58"/>
    <mergeCell ref="DF58:DG58"/>
    <mergeCell ref="C59:F59"/>
    <mergeCell ref="O59:P59"/>
    <mergeCell ref="AB59:AC59"/>
    <mergeCell ref="AJ59:AK59"/>
    <mergeCell ref="AT59:AU59"/>
    <mergeCell ref="AV59:AX59"/>
    <mergeCell ref="AY59:AZ59"/>
    <mergeCell ref="AV58:AX58"/>
    <mergeCell ref="AY58:AZ58"/>
    <mergeCell ref="BJ58:BM58"/>
    <mergeCell ref="BV58:BW58"/>
    <mergeCell ref="CG58:CH58"/>
    <mergeCell ref="CQ58:CR58"/>
    <mergeCell ref="CG57:CH57"/>
    <mergeCell ref="CU57:CV57"/>
    <mergeCell ref="DA57:DB57"/>
    <mergeCell ref="DC57:DE57"/>
    <mergeCell ref="DF57:DG57"/>
    <mergeCell ref="C58:F58"/>
    <mergeCell ref="O58:P58"/>
    <mergeCell ref="Z58:AA58"/>
    <mergeCell ref="AJ58:AK58"/>
    <mergeCell ref="AT58:AU58"/>
    <mergeCell ref="DF56:DG56"/>
    <mergeCell ref="C57:F57"/>
    <mergeCell ref="O57:P57"/>
    <mergeCell ref="Z57:AA57"/>
    <mergeCell ref="AN57:AO57"/>
    <mergeCell ref="AT57:AU57"/>
    <mergeCell ref="AV57:AX57"/>
    <mergeCell ref="AY57:AZ57"/>
    <mergeCell ref="BJ57:BM57"/>
    <mergeCell ref="BV57:BW57"/>
    <mergeCell ref="DF55:DG55"/>
    <mergeCell ref="C56:F56"/>
    <mergeCell ref="O56:P56"/>
    <mergeCell ref="AT56:AU56"/>
    <mergeCell ref="AV56:AX56"/>
    <mergeCell ref="AY56:AZ56"/>
    <mergeCell ref="BJ56:BM56"/>
    <mergeCell ref="BV56:BW56"/>
    <mergeCell ref="DA56:DB56"/>
    <mergeCell ref="DC56:DE56"/>
    <mergeCell ref="DF54:DG54"/>
    <mergeCell ref="C55:F55"/>
    <mergeCell ref="O55:P55"/>
    <mergeCell ref="AT55:AU55"/>
    <mergeCell ref="AV55:AX55"/>
    <mergeCell ref="AY55:AZ55"/>
    <mergeCell ref="BJ55:BM55"/>
    <mergeCell ref="BV55:BW55"/>
    <mergeCell ref="DA55:DB55"/>
    <mergeCell ref="DC55:DE55"/>
    <mergeCell ref="AV54:AX54"/>
    <mergeCell ref="AY54:AZ54"/>
    <mergeCell ref="BJ54:BM54"/>
    <mergeCell ref="BV54:BW54"/>
    <mergeCell ref="DA54:DB54"/>
    <mergeCell ref="DC54:DE54"/>
    <mergeCell ref="CM53:CN53"/>
    <mergeCell ref="CP53:CQ53"/>
    <mergeCell ref="DA53:DB53"/>
    <mergeCell ref="DC53:DE53"/>
    <mergeCell ref="DF53:DG53"/>
    <mergeCell ref="C54:F54"/>
    <mergeCell ref="O54:P54"/>
    <mergeCell ref="Z54:AA54"/>
    <mergeCell ref="AJ54:AK54"/>
    <mergeCell ref="AT54:AU54"/>
    <mergeCell ref="AT53:AU53"/>
    <mergeCell ref="AV53:AX53"/>
    <mergeCell ref="AY53:AZ53"/>
    <mergeCell ref="BJ53:BM53"/>
    <mergeCell ref="CG53:CH53"/>
    <mergeCell ref="CJ53:CK53"/>
    <mergeCell ref="C53:F53"/>
    <mergeCell ref="O53:P53"/>
    <mergeCell ref="Z53:AA53"/>
    <mergeCell ref="AC53:AD53"/>
    <mergeCell ref="AF53:AG53"/>
    <mergeCell ref="AI53:AJ53"/>
    <mergeCell ref="BV52:BW52"/>
    <mergeCell ref="CG52:CH52"/>
    <mergeCell ref="CQ52:CR52"/>
    <mergeCell ref="DA52:DB52"/>
    <mergeCell ref="DC52:DE52"/>
    <mergeCell ref="DF52:DG52"/>
    <mergeCell ref="DC51:DE51"/>
    <mergeCell ref="DF51:DG51"/>
    <mergeCell ref="C52:F52"/>
    <mergeCell ref="O52:P52"/>
    <mergeCell ref="Z52:AA52"/>
    <mergeCell ref="AJ52:AK52"/>
    <mergeCell ref="AT52:AU52"/>
    <mergeCell ref="AV52:AX52"/>
    <mergeCell ref="AY52:AZ52"/>
    <mergeCell ref="BJ52:BM52"/>
    <mergeCell ref="AY51:AZ51"/>
    <mergeCell ref="BJ51:BM51"/>
    <mergeCell ref="BV51:BW51"/>
    <mergeCell ref="CG51:CH51"/>
    <mergeCell ref="CQ51:CR51"/>
    <mergeCell ref="DA51:DB51"/>
    <mergeCell ref="DA50:DB50"/>
    <mergeCell ref="DC50:DE50"/>
    <mergeCell ref="DF50:DG50"/>
    <mergeCell ref="C51:F51"/>
    <mergeCell ref="Z51:AA51"/>
    <mergeCell ref="AC51:AD51"/>
    <mergeCell ref="AF51:AG51"/>
    <mergeCell ref="AI51:AJ51"/>
    <mergeCell ref="AT51:AU51"/>
    <mergeCell ref="AV51:AX51"/>
    <mergeCell ref="AV50:AX50"/>
    <mergeCell ref="AY50:AZ50"/>
    <mergeCell ref="BJ50:BM50"/>
    <mergeCell ref="BV50:BW50"/>
    <mergeCell ref="CG50:CH50"/>
    <mergeCell ref="CQ50:CR50"/>
    <mergeCell ref="CG49:CK49"/>
    <mergeCell ref="CM49:CP49"/>
    <mergeCell ref="DA49:DB49"/>
    <mergeCell ref="DC49:DE49"/>
    <mergeCell ref="DF49:DG49"/>
    <mergeCell ref="C50:F50"/>
    <mergeCell ref="O50:P50"/>
    <mergeCell ref="Z50:AA50"/>
    <mergeCell ref="AJ50:AK50"/>
    <mergeCell ref="AT50:AU50"/>
    <mergeCell ref="DF48:DG48"/>
    <mergeCell ref="C49:F49"/>
    <mergeCell ref="O49:P49"/>
    <mergeCell ref="Z49:AD49"/>
    <mergeCell ref="AF49:AI49"/>
    <mergeCell ref="AT49:AU49"/>
    <mergeCell ref="AV49:AX49"/>
    <mergeCell ref="AY49:AZ49"/>
    <mergeCell ref="BJ49:BM49"/>
    <mergeCell ref="BV49:BW49"/>
    <mergeCell ref="DF47:DG47"/>
    <mergeCell ref="C48:F48"/>
    <mergeCell ref="O48:P48"/>
    <mergeCell ref="AT48:AU48"/>
    <mergeCell ref="AV48:AX48"/>
    <mergeCell ref="AY48:AZ48"/>
    <mergeCell ref="BJ48:BM48"/>
    <mergeCell ref="BV48:BW48"/>
    <mergeCell ref="DA48:DB48"/>
    <mergeCell ref="DC48:DE48"/>
    <mergeCell ref="CG47:CH47"/>
    <mergeCell ref="CJ47:CK47"/>
    <mergeCell ref="CM47:CN47"/>
    <mergeCell ref="CP47:CQ47"/>
    <mergeCell ref="DA47:DB47"/>
    <mergeCell ref="DC47:DE47"/>
    <mergeCell ref="AI47:AJ47"/>
    <mergeCell ref="AT47:AU47"/>
    <mergeCell ref="AV47:AX47"/>
    <mergeCell ref="AY47:AZ47"/>
    <mergeCell ref="BJ47:BM47"/>
    <mergeCell ref="BV47:BW47"/>
    <mergeCell ref="BV46:BW46"/>
    <mergeCell ref="CQ46:CU46"/>
    <mergeCell ref="DA46:DB46"/>
    <mergeCell ref="DC46:DE46"/>
    <mergeCell ref="DF46:DG46"/>
    <mergeCell ref="C47:F47"/>
    <mergeCell ref="O47:P47"/>
    <mergeCell ref="Z47:AA47"/>
    <mergeCell ref="AC47:AD47"/>
    <mergeCell ref="AF47:AG47"/>
    <mergeCell ref="DA45:DB45"/>
    <mergeCell ref="DC45:DE45"/>
    <mergeCell ref="DF45:DG45"/>
    <mergeCell ref="C46:F46"/>
    <mergeCell ref="O46:P46"/>
    <mergeCell ref="AJ46:AN46"/>
    <mergeCell ref="AT46:AU46"/>
    <mergeCell ref="AV46:AX46"/>
    <mergeCell ref="AY46:AZ46"/>
    <mergeCell ref="BJ46:BM46"/>
    <mergeCell ref="CL44:CM44"/>
    <mergeCell ref="CT44:CU44"/>
    <mergeCell ref="DA44:DB44"/>
    <mergeCell ref="DC44:DE44"/>
    <mergeCell ref="DF44:DG44"/>
    <mergeCell ref="C45:F45"/>
    <mergeCell ref="AT45:AU45"/>
    <mergeCell ref="AV45:AX45"/>
    <mergeCell ref="AY45:AZ45"/>
    <mergeCell ref="BJ45:BM45"/>
    <mergeCell ref="DF43:DG43"/>
    <mergeCell ref="C44:F44"/>
    <mergeCell ref="O44:P44"/>
    <mergeCell ref="AE44:AF44"/>
    <mergeCell ref="AM44:AN44"/>
    <mergeCell ref="AT44:AU44"/>
    <mergeCell ref="AV44:AX44"/>
    <mergeCell ref="AY44:AZ44"/>
    <mergeCell ref="BJ44:BM44"/>
    <mergeCell ref="BV44:BW44"/>
    <mergeCell ref="BJ43:BM43"/>
    <mergeCell ref="BV43:BW43"/>
    <mergeCell ref="CI43:CJ43"/>
    <mergeCell ref="CQ43:CR43"/>
    <mergeCell ref="DA43:DB43"/>
    <mergeCell ref="DC43:DE43"/>
    <mergeCell ref="DA42:DB42"/>
    <mergeCell ref="DC42:DE42"/>
    <mergeCell ref="DF42:DG42"/>
    <mergeCell ref="C43:F43"/>
    <mergeCell ref="O43:P43"/>
    <mergeCell ref="AB43:AC43"/>
    <mergeCell ref="AJ43:AK43"/>
    <mergeCell ref="AT43:AU43"/>
    <mergeCell ref="AV43:AX43"/>
    <mergeCell ref="AY43:AZ43"/>
    <mergeCell ref="AV42:AX42"/>
    <mergeCell ref="AY42:AZ42"/>
    <mergeCell ref="BJ42:BM42"/>
    <mergeCell ref="BV42:BW42"/>
    <mergeCell ref="CG42:CH42"/>
    <mergeCell ref="CQ42:CR42"/>
    <mergeCell ref="CG41:CH41"/>
    <mergeCell ref="CU41:CV41"/>
    <mergeCell ref="DA41:DB41"/>
    <mergeCell ref="DC41:DE41"/>
    <mergeCell ref="DF41:DG41"/>
    <mergeCell ref="C42:F42"/>
    <mergeCell ref="O42:P42"/>
    <mergeCell ref="Z42:AA42"/>
    <mergeCell ref="AJ42:AK42"/>
    <mergeCell ref="AT42:AU42"/>
    <mergeCell ref="DF40:DG40"/>
    <mergeCell ref="C41:F41"/>
    <mergeCell ref="O41:P41"/>
    <mergeCell ref="Z41:AA41"/>
    <mergeCell ref="AN41:AO41"/>
    <mergeCell ref="AT41:AU41"/>
    <mergeCell ref="AV41:AX41"/>
    <mergeCell ref="AY41:AZ41"/>
    <mergeCell ref="BJ41:BM41"/>
    <mergeCell ref="BV41:BW41"/>
    <mergeCell ref="DF39:DG39"/>
    <mergeCell ref="C40:F40"/>
    <mergeCell ref="O40:P40"/>
    <mergeCell ref="AT40:AU40"/>
    <mergeCell ref="AV40:AX40"/>
    <mergeCell ref="AY40:AZ40"/>
    <mergeCell ref="BJ40:BM40"/>
    <mergeCell ref="BV40:BW40"/>
    <mergeCell ref="DA40:DB40"/>
    <mergeCell ref="DC40:DE40"/>
    <mergeCell ref="DF38:DG38"/>
    <mergeCell ref="C39:F39"/>
    <mergeCell ref="O39:P39"/>
    <mergeCell ref="AT39:AU39"/>
    <mergeCell ref="AV39:AX39"/>
    <mergeCell ref="AY39:AZ39"/>
    <mergeCell ref="BJ39:BM39"/>
    <mergeCell ref="BV39:BW39"/>
    <mergeCell ref="DA39:DB39"/>
    <mergeCell ref="DC39:DE39"/>
    <mergeCell ref="BJ38:BM38"/>
    <mergeCell ref="BV38:BW38"/>
    <mergeCell ref="CG38:CH38"/>
    <mergeCell ref="CQ38:CR38"/>
    <mergeCell ref="DA38:DB38"/>
    <mergeCell ref="DC38:DE38"/>
    <mergeCell ref="CM37:CN37"/>
    <mergeCell ref="CP37:CQ37"/>
    <mergeCell ref="DA37:DB37"/>
    <mergeCell ref="DC37:DE37"/>
    <mergeCell ref="DF37:DG37"/>
    <mergeCell ref="C38:F38"/>
    <mergeCell ref="O38:P38"/>
    <mergeCell ref="AT38:AU38"/>
    <mergeCell ref="AV38:AX38"/>
    <mergeCell ref="AY38:AZ38"/>
    <mergeCell ref="AV37:AX37"/>
    <mergeCell ref="AY37:AZ37"/>
    <mergeCell ref="BJ37:BM37"/>
    <mergeCell ref="BV37:BW37"/>
    <mergeCell ref="CG37:CH37"/>
    <mergeCell ref="CJ37:CK37"/>
    <mergeCell ref="DA36:DB36"/>
    <mergeCell ref="DC36:DE36"/>
    <mergeCell ref="DF36:DG36"/>
    <mergeCell ref="C37:F37"/>
    <mergeCell ref="O37:P37"/>
    <mergeCell ref="Z37:AA37"/>
    <mergeCell ref="AC37:AD37"/>
    <mergeCell ref="AF37:AG37"/>
    <mergeCell ref="AI37:AJ37"/>
    <mergeCell ref="AT37:AU37"/>
    <mergeCell ref="AV36:AX36"/>
    <mergeCell ref="AY36:AZ36"/>
    <mergeCell ref="BJ36:BM36"/>
    <mergeCell ref="BV36:BW36"/>
    <mergeCell ref="CG36:CH36"/>
    <mergeCell ref="CQ36:CR36"/>
    <mergeCell ref="CM35:CN35"/>
    <mergeCell ref="CP35:CQ35"/>
    <mergeCell ref="DA35:DB35"/>
    <mergeCell ref="DC35:DE35"/>
    <mergeCell ref="DF35:DG35"/>
    <mergeCell ref="C36:F36"/>
    <mergeCell ref="O36:P36"/>
    <mergeCell ref="Z36:AA36"/>
    <mergeCell ref="AJ36:AK36"/>
    <mergeCell ref="AT36:AU36"/>
    <mergeCell ref="AV35:AX35"/>
    <mergeCell ref="AY35:AZ35"/>
    <mergeCell ref="BJ35:BM35"/>
    <mergeCell ref="BV35:BW35"/>
    <mergeCell ref="CG35:CH35"/>
    <mergeCell ref="CJ35:CK35"/>
    <mergeCell ref="C35:F35"/>
    <mergeCell ref="Z35:AA35"/>
    <mergeCell ref="AC35:AD35"/>
    <mergeCell ref="AF35:AG35"/>
    <mergeCell ref="AI35:AJ35"/>
    <mergeCell ref="AT35:AU35"/>
    <mergeCell ref="BV34:BW34"/>
    <mergeCell ref="CG34:CH34"/>
    <mergeCell ref="CQ34:CR34"/>
    <mergeCell ref="DA34:DB34"/>
    <mergeCell ref="DC34:DE34"/>
    <mergeCell ref="DF34:DG34"/>
    <mergeCell ref="DC33:DE33"/>
    <mergeCell ref="DF33:DG33"/>
    <mergeCell ref="C34:F34"/>
    <mergeCell ref="O34:P34"/>
    <mergeCell ref="Z34:AA34"/>
    <mergeCell ref="AJ34:AK34"/>
    <mergeCell ref="AT34:AU34"/>
    <mergeCell ref="AV34:AX34"/>
    <mergeCell ref="AY34:AZ34"/>
    <mergeCell ref="BJ34:BM34"/>
    <mergeCell ref="AY33:AZ33"/>
    <mergeCell ref="BJ33:BM33"/>
    <mergeCell ref="BV33:BW33"/>
    <mergeCell ref="CG33:CK33"/>
    <mergeCell ref="CM33:CP33"/>
    <mergeCell ref="DA33:DB33"/>
    <mergeCell ref="C33:F33"/>
    <mergeCell ref="O33:P33"/>
    <mergeCell ref="Z33:AD33"/>
    <mergeCell ref="AF33:AI33"/>
    <mergeCell ref="AT33:AU33"/>
    <mergeCell ref="AV33:AX33"/>
    <mergeCell ref="BV32:BW32"/>
    <mergeCell ref="CL32:CM32"/>
    <mergeCell ref="CT32:CU32"/>
    <mergeCell ref="DA32:DB32"/>
    <mergeCell ref="DC32:DE32"/>
    <mergeCell ref="DF32:DG32"/>
    <mergeCell ref="C32:F32"/>
    <mergeCell ref="O32:P32"/>
    <mergeCell ref="AT32:AU32"/>
    <mergeCell ref="AV32:AX32"/>
    <mergeCell ref="AY32:AZ32"/>
    <mergeCell ref="BJ32:BM32"/>
    <mergeCell ref="CJ31:CK31"/>
    <mergeCell ref="CM31:CN31"/>
    <mergeCell ref="CP31:CQ31"/>
    <mergeCell ref="DA31:DB31"/>
    <mergeCell ref="DC31:DE31"/>
    <mergeCell ref="DF31:DG31"/>
    <mergeCell ref="AT31:AU31"/>
    <mergeCell ref="AV31:AX31"/>
    <mergeCell ref="AY31:AZ31"/>
    <mergeCell ref="BJ31:BM31"/>
    <mergeCell ref="BV31:BW31"/>
    <mergeCell ref="CG31:CH31"/>
    <mergeCell ref="C31:F31"/>
    <mergeCell ref="O31:P31"/>
    <mergeCell ref="Z31:AA31"/>
    <mergeCell ref="AC31:AD31"/>
    <mergeCell ref="AF31:AG31"/>
    <mergeCell ref="AI31:AJ31"/>
    <mergeCell ref="BJ30:BM30"/>
    <mergeCell ref="BV30:BW30"/>
    <mergeCell ref="CQ30:CU30"/>
    <mergeCell ref="DA30:DB30"/>
    <mergeCell ref="DC30:DE30"/>
    <mergeCell ref="DF30:DG30"/>
    <mergeCell ref="C30:F30"/>
    <mergeCell ref="O30:P30"/>
    <mergeCell ref="AJ30:AN30"/>
    <mergeCell ref="AT30:AU30"/>
    <mergeCell ref="AV30:AX30"/>
    <mergeCell ref="AY30:AZ30"/>
    <mergeCell ref="DF28:DG28"/>
    <mergeCell ref="C29:F29"/>
    <mergeCell ref="AT29:AU29"/>
    <mergeCell ref="AV29:AX29"/>
    <mergeCell ref="AY29:AZ29"/>
    <mergeCell ref="BJ29:BM29"/>
    <mergeCell ref="DA29:DB29"/>
    <mergeCell ref="DC29:DE29"/>
    <mergeCell ref="DF29:DG29"/>
    <mergeCell ref="BJ28:BM28"/>
    <mergeCell ref="BV28:BW28"/>
    <mergeCell ref="CL28:CM28"/>
    <mergeCell ref="CT28:CU28"/>
    <mergeCell ref="DA28:DB28"/>
    <mergeCell ref="DC28:DE28"/>
    <mergeCell ref="DA27:DB27"/>
    <mergeCell ref="DC27:DE27"/>
    <mergeCell ref="DF27:DG27"/>
    <mergeCell ref="C28:F28"/>
    <mergeCell ref="O28:P28"/>
    <mergeCell ref="AE28:AF28"/>
    <mergeCell ref="AM28:AN28"/>
    <mergeCell ref="AT28:AU28"/>
    <mergeCell ref="AV28:AX28"/>
    <mergeCell ref="AY28:AZ28"/>
    <mergeCell ref="AV27:AX27"/>
    <mergeCell ref="AY27:AZ27"/>
    <mergeCell ref="BJ27:BM27"/>
    <mergeCell ref="BV27:BW27"/>
    <mergeCell ref="CI27:CJ27"/>
    <mergeCell ref="CQ27:CR27"/>
    <mergeCell ref="CG26:CH26"/>
    <mergeCell ref="CQ26:CR26"/>
    <mergeCell ref="DA26:DB26"/>
    <mergeCell ref="DC26:DE26"/>
    <mergeCell ref="DF26:DG26"/>
    <mergeCell ref="C27:F27"/>
    <mergeCell ref="O27:P27"/>
    <mergeCell ref="AB27:AC27"/>
    <mergeCell ref="AJ27:AK27"/>
    <mergeCell ref="AT27:AU27"/>
    <mergeCell ref="DF25:DG25"/>
    <mergeCell ref="C26:F26"/>
    <mergeCell ref="O26:P26"/>
    <mergeCell ref="Z26:AA26"/>
    <mergeCell ref="AJ26:AK26"/>
    <mergeCell ref="AT26:AU26"/>
    <mergeCell ref="AV26:AX26"/>
    <mergeCell ref="AY26:AZ26"/>
    <mergeCell ref="BJ26:BM26"/>
    <mergeCell ref="BV26:BW26"/>
    <mergeCell ref="BJ25:BM25"/>
    <mergeCell ref="BV25:BW25"/>
    <mergeCell ref="CG25:CH25"/>
    <mergeCell ref="CU25:CV25"/>
    <mergeCell ref="DA25:DB25"/>
    <mergeCell ref="DC25:DE25"/>
    <mergeCell ref="DA24:DB24"/>
    <mergeCell ref="DC24:DE24"/>
    <mergeCell ref="DF24:DG24"/>
    <mergeCell ref="C25:F25"/>
    <mergeCell ref="O25:P25"/>
    <mergeCell ref="Z25:AA25"/>
    <mergeCell ref="AN25:AO25"/>
    <mergeCell ref="AT25:AU25"/>
    <mergeCell ref="AV25:AX25"/>
    <mergeCell ref="AY25:AZ25"/>
    <mergeCell ref="DA23:DB23"/>
    <mergeCell ref="DC23:DE23"/>
    <mergeCell ref="DF23:DG23"/>
    <mergeCell ref="C24:F24"/>
    <mergeCell ref="O24:P24"/>
    <mergeCell ref="AT24:AU24"/>
    <mergeCell ref="AV24:AX24"/>
    <mergeCell ref="AY24:AZ24"/>
    <mergeCell ref="BJ24:BM24"/>
    <mergeCell ref="BV24:BW24"/>
    <mergeCell ref="DA22:DB22"/>
    <mergeCell ref="DC22:DE22"/>
    <mergeCell ref="DF22:DG22"/>
    <mergeCell ref="C23:F23"/>
    <mergeCell ref="O23:P23"/>
    <mergeCell ref="AT23:AU23"/>
    <mergeCell ref="AV23:AX23"/>
    <mergeCell ref="AY23:AZ23"/>
    <mergeCell ref="BJ23:BM23"/>
    <mergeCell ref="BV23:BW23"/>
    <mergeCell ref="AV22:AX22"/>
    <mergeCell ref="AY22:AZ22"/>
    <mergeCell ref="BJ22:BM22"/>
    <mergeCell ref="BV22:BW22"/>
    <mergeCell ref="CG22:CH22"/>
    <mergeCell ref="CQ22:CR22"/>
    <mergeCell ref="CM21:CN21"/>
    <mergeCell ref="CP21:CQ21"/>
    <mergeCell ref="DA21:DB21"/>
    <mergeCell ref="DC21:DE21"/>
    <mergeCell ref="DF21:DG21"/>
    <mergeCell ref="C22:F22"/>
    <mergeCell ref="O22:P22"/>
    <mergeCell ref="Z22:AA22"/>
    <mergeCell ref="AJ22:AK22"/>
    <mergeCell ref="AT22:AU22"/>
    <mergeCell ref="AV21:AX21"/>
    <mergeCell ref="AY21:AZ21"/>
    <mergeCell ref="BJ21:BM21"/>
    <mergeCell ref="BV21:BW21"/>
    <mergeCell ref="CG21:CH21"/>
    <mergeCell ref="CJ21:CK21"/>
    <mergeCell ref="DA20:DB20"/>
    <mergeCell ref="DC20:DE20"/>
    <mergeCell ref="DF20:DG20"/>
    <mergeCell ref="C21:F21"/>
    <mergeCell ref="O21:P21"/>
    <mergeCell ref="Z21:AA21"/>
    <mergeCell ref="AC21:AD21"/>
    <mergeCell ref="AF21:AG21"/>
    <mergeCell ref="AI21:AJ21"/>
    <mergeCell ref="AT21:AU21"/>
    <mergeCell ref="AV20:AX20"/>
    <mergeCell ref="AY20:AZ20"/>
    <mergeCell ref="BJ20:BM20"/>
    <mergeCell ref="BV20:BW20"/>
    <mergeCell ref="CG20:CH20"/>
    <mergeCell ref="CQ20:CR20"/>
    <mergeCell ref="CM19:CN19"/>
    <mergeCell ref="CP19:CQ19"/>
    <mergeCell ref="DA19:DB19"/>
    <mergeCell ref="DC19:DE19"/>
    <mergeCell ref="DF19:DG19"/>
    <mergeCell ref="C20:F20"/>
    <mergeCell ref="O20:P20"/>
    <mergeCell ref="Z20:AA20"/>
    <mergeCell ref="AJ20:AK20"/>
    <mergeCell ref="AT20:AU20"/>
    <mergeCell ref="AV19:AX19"/>
    <mergeCell ref="AY19:AZ19"/>
    <mergeCell ref="BJ19:BM19"/>
    <mergeCell ref="BV19:BW19"/>
    <mergeCell ref="CG19:CH19"/>
    <mergeCell ref="CJ19:CK19"/>
    <mergeCell ref="C19:F19"/>
    <mergeCell ref="Z19:AA19"/>
    <mergeCell ref="AC19:AD19"/>
    <mergeCell ref="AF19:AG19"/>
    <mergeCell ref="AI19:AJ19"/>
    <mergeCell ref="AT19:AU19"/>
    <mergeCell ref="BV18:BW18"/>
    <mergeCell ref="CG18:CH18"/>
    <mergeCell ref="CQ18:CR18"/>
    <mergeCell ref="DA18:DB18"/>
    <mergeCell ref="DC18:DE18"/>
    <mergeCell ref="DF18:DG18"/>
    <mergeCell ref="DC17:DE17"/>
    <mergeCell ref="DF17:DG17"/>
    <mergeCell ref="C18:F18"/>
    <mergeCell ref="O18:P18"/>
    <mergeCell ref="Z18:AA18"/>
    <mergeCell ref="AJ18:AK18"/>
    <mergeCell ref="AT18:AU18"/>
    <mergeCell ref="AV18:AX18"/>
    <mergeCell ref="AY18:AZ18"/>
    <mergeCell ref="BJ18:BM18"/>
    <mergeCell ref="AY17:AZ17"/>
    <mergeCell ref="BJ17:BM17"/>
    <mergeCell ref="BV17:BW17"/>
    <mergeCell ref="CG17:CK17"/>
    <mergeCell ref="CM17:CP17"/>
    <mergeCell ref="DA17:DB17"/>
    <mergeCell ref="C17:F17"/>
    <mergeCell ref="O17:P17"/>
    <mergeCell ref="Z17:AD17"/>
    <mergeCell ref="AF17:AI17"/>
    <mergeCell ref="AT17:AU17"/>
    <mergeCell ref="AV17:AX17"/>
    <mergeCell ref="BV16:BW16"/>
    <mergeCell ref="CL16:CM16"/>
    <mergeCell ref="CT16:CU16"/>
    <mergeCell ref="DA16:DB16"/>
    <mergeCell ref="DC16:DE16"/>
    <mergeCell ref="DF16:DG16"/>
    <mergeCell ref="C16:F16"/>
    <mergeCell ref="O16:P16"/>
    <mergeCell ref="AT16:AU16"/>
    <mergeCell ref="AV16:AX16"/>
    <mergeCell ref="AY16:AZ16"/>
    <mergeCell ref="BJ16:BM16"/>
    <mergeCell ref="CJ15:CK15"/>
    <mergeCell ref="CM15:CN15"/>
    <mergeCell ref="CP15:CQ15"/>
    <mergeCell ref="DA15:DB15"/>
    <mergeCell ref="DC15:DE15"/>
    <mergeCell ref="DF15:DG15"/>
    <mergeCell ref="AT15:AU15"/>
    <mergeCell ref="AV15:AX15"/>
    <mergeCell ref="AY15:AZ15"/>
    <mergeCell ref="BJ15:BM15"/>
    <mergeCell ref="BV15:BW15"/>
    <mergeCell ref="CG15:CH15"/>
    <mergeCell ref="CQ14:CU14"/>
    <mergeCell ref="DA14:DB14"/>
    <mergeCell ref="DC14:DE14"/>
    <mergeCell ref="DF14:DG14"/>
    <mergeCell ref="C15:F15"/>
    <mergeCell ref="O15:P15"/>
    <mergeCell ref="Z15:AA15"/>
    <mergeCell ref="AC15:AD15"/>
    <mergeCell ref="AF15:AG15"/>
    <mergeCell ref="AI15:AJ15"/>
    <mergeCell ref="DC13:DE13"/>
    <mergeCell ref="DF13:DG13"/>
    <mergeCell ref="C14:F14"/>
    <mergeCell ref="O14:P14"/>
    <mergeCell ref="AJ14:AN14"/>
    <mergeCell ref="AT14:AU14"/>
    <mergeCell ref="AV14:AX14"/>
    <mergeCell ref="AY14:AZ14"/>
    <mergeCell ref="BJ14:BM14"/>
    <mergeCell ref="BV14:BW14"/>
    <mergeCell ref="C13:F13"/>
    <mergeCell ref="AT13:AU13"/>
    <mergeCell ref="AV13:AX13"/>
    <mergeCell ref="AY13:AZ13"/>
    <mergeCell ref="BJ13:BM13"/>
    <mergeCell ref="DA13:DB13"/>
    <mergeCell ref="BV12:BW12"/>
    <mergeCell ref="CL12:CM12"/>
    <mergeCell ref="CT12:CU12"/>
    <mergeCell ref="DA12:DB12"/>
    <mergeCell ref="DC12:DE12"/>
    <mergeCell ref="DF12:DG12"/>
    <mergeCell ref="DC11:DE11"/>
    <mergeCell ref="DF11:DG11"/>
    <mergeCell ref="C12:F12"/>
    <mergeCell ref="O12:P12"/>
    <mergeCell ref="AE12:AF12"/>
    <mergeCell ref="AM12:AN12"/>
    <mergeCell ref="AT12:AU12"/>
    <mergeCell ref="AV12:AX12"/>
    <mergeCell ref="AY12:AZ12"/>
    <mergeCell ref="BJ12:BM12"/>
    <mergeCell ref="AY11:AZ11"/>
    <mergeCell ref="BJ11:BM11"/>
    <mergeCell ref="BV11:BW11"/>
    <mergeCell ref="CI11:CJ11"/>
    <mergeCell ref="CQ11:CR11"/>
    <mergeCell ref="DA11:DB11"/>
    <mergeCell ref="C11:F11"/>
    <mergeCell ref="O11:P11"/>
    <mergeCell ref="AB11:AC11"/>
    <mergeCell ref="AJ11:AK11"/>
    <mergeCell ref="AT11:AU11"/>
    <mergeCell ref="AV11:AX11"/>
    <mergeCell ref="BV10:BW10"/>
    <mergeCell ref="CG10:CH10"/>
    <mergeCell ref="CQ10:CR10"/>
    <mergeCell ref="DA10:DB10"/>
    <mergeCell ref="DC10:DE10"/>
    <mergeCell ref="DF10:DG10"/>
    <mergeCell ref="DC9:DE9"/>
    <mergeCell ref="DF9:DG9"/>
    <mergeCell ref="C10:F10"/>
    <mergeCell ref="O10:P10"/>
    <mergeCell ref="Z10:AA10"/>
    <mergeCell ref="AJ10:AK10"/>
    <mergeCell ref="AT10:AU10"/>
    <mergeCell ref="AV10:AX10"/>
    <mergeCell ref="AY10:AZ10"/>
    <mergeCell ref="BJ10:BM10"/>
    <mergeCell ref="AY9:AZ9"/>
    <mergeCell ref="BJ9:BM9"/>
    <mergeCell ref="BV9:BW9"/>
    <mergeCell ref="CG9:CH9"/>
    <mergeCell ref="CU9:CV9"/>
    <mergeCell ref="DA9:DB9"/>
    <mergeCell ref="BV8:BW8"/>
    <mergeCell ref="DA8:DB8"/>
    <mergeCell ref="DC8:DE8"/>
    <mergeCell ref="DF8:DG8"/>
    <mergeCell ref="C9:F9"/>
    <mergeCell ref="O9:P9"/>
    <mergeCell ref="Z9:AA9"/>
    <mergeCell ref="AN9:AO9"/>
    <mergeCell ref="AT9:AU9"/>
    <mergeCell ref="AV9:AX9"/>
    <mergeCell ref="BV7:BW7"/>
    <mergeCell ref="DA7:DB7"/>
    <mergeCell ref="DC7:DE7"/>
    <mergeCell ref="DF7:DG7"/>
    <mergeCell ref="C8:F8"/>
    <mergeCell ref="O8:P8"/>
    <mergeCell ref="AT8:AU8"/>
    <mergeCell ref="AV8:AX8"/>
    <mergeCell ref="AY8:AZ8"/>
    <mergeCell ref="BJ8:BM8"/>
    <mergeCell ref="C7:F7"/>
    <mergeCell ref="O7:P7"/>
    <mergeCell ref="AT7:AU7"/>
    <mergeCell ref="AV7:AX7"/>
    <mergeCell ref="AY7:AZ7"/>
    <mergeCell ref="BJ7:BM7"/>
    <mergeCell ref="CZ5:DE5"/>
    <mergeCell ref="DF5:DG6"/>
    <mergeCell ref="DH5:DO6"/>
    <mergeCell ref="AT6:AU6"/>
    <mergeCell ref="AV6:AX6"/>
    <mergeCell ref="DA6:DB6"/>
    <mergeCell ref="DC6:DE6"/>
    <mergeCell ref="AY5:AZ6"/>
    <mergeCell ref="BA5:BH6"/>
    <mergeCell ref="BJ5:BM6"/>
    <mergeCell ref="BN5:BU6"/>
    <mergeCell ref="BV5:CA6"/>
    <mergeCell ref="CB5:CY6"/>
    <mergeCell ref="C3:F3"/>
    <mergeCell ref="C5:F6"/>
    <mergeCell ref="G5:N6"/>
    <mergeCell ref="O5:T6"/>
    <mergeCell ref="U5:AR6"/>
    <mergeCell ref="AS5:AX5"/>
  </mergeCells>
  <phoneticPr fontId="4"/>
  <dataValidations count="3">
    <dataValidation type="list" allowBlank="1" showInputMessage="1" showErrorMessage="1" sqref="AF17 CM49 CM17 CM33 AF33 AF49 AF65 CM65" xr:uid="{15747861-EB86-4D58-A4DB-8E46E230C014}">
      <formula1>"4方向吹出,2方向吹出,1方向吹出,"</formula1>
    </dataValidation>
    <dataValidation type="list" allowBlank="1" showInputMessage="1" showErrorMessage="1" sqref="Z17:AD17 CG49:CK49 CG17:CK17 CG33:CK33 Z33:AD33 Z49:AD49 Z65:AD65 CG65:CK65" xr:uid="{4D10F521-8972-46D1-A517-EE9E1D3C14BA}">
      <formula1>"天井カセット形,天井埋込形,ビルトイン形,天吊形,壁掛形,厨房用天吊形,"</formula1>
    </dataValidation>
    <dataValidation type="list" allowBlank="1" showInputMessage="1" showErrorMessage="1" sqref="AJ14:AN14 CQ46:CU46 AJ30:AN30 AJ62:AN62 CQ14:CU14 AJ46:AN46 CQ62:CU62 CQ30:CU30" xr:uid="{1DF683E0-2734-4C4E-95D9-1C0F99154DEB}">
      <formula1>"耐塩害仕様,耐重塩害仕様,"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paperSize="8" scale="49" orientation="landscape" blackAndWhite="1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21B80-AC24-4835-B866-54A291CF5D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6</vt:i4>
      </vt:variant>
    </vt:vector>
  </HeadingPairs>
  <TitlesOfParts>
    <vt:vector size="14" baseType="lpstr">
      <vt:lpstr>設計資料</vt:lpstr>
      <vt:lpstr>仮選定</vt:lpstr>
      <vt:lpstr>コピー用</vt:lpstr>
      <vt:lpstr>要求事項</vt:lpstr>
      <vt:lpstr>設計条件</vt:lpstr>
      <vt:lpstr>機器表</vt:lpstr>
      <vt:lpstr>機器リスト A3</vt:lpstr>
      <vt:lpstr>空調機器表</vt:lpstr>
      <vt:lpstr>コピー用!Print_Area</vt:lpstr>
      <vt:lpstr>仮選定!Print_Area</vt:lpstr>
      <vt:lpstr>機器表!Print_Area</vt:lpstr>
      <vt:lpstr>空調機器表!Print_Area</vt:lpstr>
      <vt:lpstr>設計条件!Print_Area</vt:lpstr>
      <vt:lpstr>要求事項!Print_Area</vt:lpstr>
    </vt:vector>
  </TitlesOfParts>
  <Company>fte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0296</dc:creator>
  <cp:lastModifiedBy>keisuke takahashi</cp:lastModifiedBy>
  <cp:lastPrinted>2024-12-02T01:32:53Z</cp:lastPrinted>
  <dcterms:created xsi:type="dcterms:W3CDTF">2012-05-16T01:25:56Z</dcterms:created>
  <dcterms:modified xsi:type="dcterms:W3CDTF">2024-12-02T01:55:49Z</dcterms:modified>
</cp:coreProperties>
</file>